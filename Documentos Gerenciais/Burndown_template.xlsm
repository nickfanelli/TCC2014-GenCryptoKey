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480" yWindow="405" windowWidth="16275" windowHeight="8940"/>
  </bookViews>
  <sheets>
    <sheet name="New Project" sheetId="4" r:id="rId1"/>
  </sheets>
  <definedNames>
    <definedName name="BPtsUS01" localSheetId="0">'New Project'!$I$13:$I$15</definedName>
    <definedName name="BPtsUS02" localSheetId="0">'New Project'!$I$20:$I$22</definedName>
    <definedName name="BPtsUS03" localSheetId="0">'New Project'!$I$27:$I$29</definedName>
    <definedName name="BPtsUS04" localSheetId="0">'New Project'!$I$34:$I$36</definedName>
    <definedName name="BPtsUS05" localSheetId="0">'New Project'!$I$41:$I$43</definedName>
    <definedName name="BPtsUS06">'New Project'!$I$51:$I$53</definedName>
    <definedName name="BPtsUS07">'New Project'!$I$58:$I$60</definedName>
    <definedName name="BPtsUS08">'New Project'!$I$65:$I$67</definedName>
    <definedName name="BSCS">#REF!</definedName>
    <definedName name="BSCS_DAB">#REF!</definedName>
    <definedName name="BSCS_DEV">#REF!</definedName>
    <definedName name="BSCS_DOC">#REF!</definedName>
    <definedName name="BSCS_TEST">#REF!</definedName>
    <definedName name="Checkbox">#REF!</definedName>
    <definedName name="Date" localSheetId="0">'New Project'!$G$50:$G$121</definedName>
    <definedName name="DateUS01" localSheetId="0">'New Project'!$H$13:$H$15</definedName>
    <definedName name="DateUS02" localSheetId="0">'New Project'!$H$20:$H$22</definedName>
    <definedName name="DateUS03" localSheetId="0">'New Project'!$H$27:$H$29</definedName>
    <definedName name="DateUS04" localSheetId="0">'New Project'!$H$34:$H$36</definedName>
    <definedName name="DateUS05" localSheetId="0">'New Project'!$H$41:$H$43</definedName>
    <definedName name="DateUS06">'New Project'!$H$51:$H$53</definedName>
    <definedName name="DateUS07">#REF!</definedName>
    <definedName name="DateUS08">'New Project'!$H$65:$H$67</definedName>
    <definedName name="Day" localSheetId="0">'New Project'!$H$50:$H$121</definedName>
    <definedName name="ECMS">#REF!</definedName>
    <definedName name="ECMS_DAB">#REF!</definedName>
    <definedName name="ECMS_DEV">#REF!</definedName>
    <definedName name="ECMS_DOC">#REF!</definedName>
    <definedName name="ECMS_TEST">#REF!</definedName>
    <definedName name="Ideal" localSheetId="0">'New Project'!$K$50:$K$121</definedName>
    <definedName name="Ideal">#REF!</definedName>
    <definedName name="Products">#REF!</definedName>
    <definedName name="RemainingPoints" localSheetId="0">'New Project'!$J$50:$J$121</definedName>
    <definedName name="RemainingPoints">#REF!</definedName>
    <definedName name="ReviewDate" localSheetId="0">'New Project'!$C$47</definedName>
    <definedName name="StartDate" localSheetId="0">'New Project'!$C$46</definedName>
    <definedName name="Team">#REF!</definedName>
    <definedName name="TotalPts" localSheetId="0">'New Project'!$E$9</definedName>
  </definedNames>
  <calcPr calcId="145621"/>
</workbook>
</file>

<file path=xl/calcChain.xml><?xml version="1.0" encoding="utf-8"?>
<calcChain xmlns="http://schemas.openxmlformats.org/spreadsheetml/2006/main">
  <c r="E9" i="4" l="1"/>
  <c r="G50" i="4"/>
  <c r="G53" i="4"/>
  <c r="I41" i="4"/>
  <c r="F44" i="4"/>
  <c r="I43" i="4"/>
  <c r="H43" i="4"/>
  <c r="I42" i="4"/>
  <c r="H42" i="4"/>
  <c r="F37" i="4"/>
  <c r="I36" i="4"/>
  <c r="H36" i="4"/>
  <c r="I35" i="4"/>
  <c r="H35" i="4"/>
  <c r="I34" i="4"/>
  <c r="H34" i="4"/>
  <c r="F30" i="4"/>
  <c r="I29" i="4"/>
  <c r="H29" i="4"/>
  <c r="I28" i="4"/>
  <c r="I30" i="4"/>
  <c r="H28" i="4"/>
  <c r="I27" i="4"/>
  <c r="H27" i="4"/>
  <c r="F23" i="4"/>
  <c r="I22" i="4"/>
  <c r="I23" i="4"/>
  <c r="H22" i="4"/>
  <c r="I21" i="4"/>
  <c r="H21" i="4"/>
  <c r="I20" i="4"/>
  <c r="H20" i="4"/>
  <c r="F16" i="4"/>
  <c r="H15" i="4"/>
  <c r="I15" i="4"/>
  <c r="H14" i="4"/>
  <c r="I14" i="4"/>
  <c r="I13" i="4"/>
  <c r="H41" i="4"/>
  <c r="G55" i="4"/>
  <c r="H13" i="4"/>
  <c r="G116" i="4"/>
  <c r="G76" i="4"/>
  <c r="G119" i="4"/>
  <c r="G87" i="4"/>
  <c r="G105" i="4"/>
  <c r="G79" i="4"/>
  <c r="G108" i="4"/>
  <c r="G81" i="4"/>
  <c r="G113" i="4"/>
  <c r="G107" i="4"/>
  <c r="G90" i="4"/>
  <c r="G73" i="4"/>
  <c r="G84" i="4"/>
  <c r="G111" i="4"/>
  <c r="I44" i="4"/>
  <c r="G75" i="4"/>
  <c r="I37" i="4"/>
  <c r="G51" i="4"/>
  <c r="G61" i="4"/>
  <c r="I16" i="4"/>
  <c r="G93" i="4"/>
  <c r="G58" i="4"/>
  <c r="G104" i="4"/>
  <c r="G72" i="4"/>
  <c r="G60" i="4"/>
  <c r="G65" i="4"/>
  <c r="G71" i="4"/>
  <c r="G89" i="4"/>
  <c r="G95" i="4"/>
  <c r="G100" i="4"/>
  <c r="G54" i="4"/>
  <c r="G70" i="4"/>
  <c r="G86" i="4"/>
  <c r="G102" i="4"/>
  <c r="G118" i="4"/>
  <c r="G52" i="4"/>
  <c r="G115" i="4"/>
  <c r="G112" i="4"/>
  <c r="G101" i="4"/>
  <c r="G98" i="4"/>
  <c r="G83" i="4"/>
  <c r="G80" i="4"/>
  <c r="G69" i="4"/>
  <c r="G66" i="4"/>
  <c r="G120" i="4"/>
  <c r="G109" i="4"/>
  <c r="G106" i="4"/>
  <c r="G91" i="4"/>
  <c r="G88" i="4"/>
  <c r="G77" i="4"/>
  <c r="G74" i="4"/>
  <c r="G59" i="4"/>
  <c r="G56" i="4"/>
  <c r="G57" i="4"/>
  <c r="G63" i="4"/>
  <c r="G68" i="4"/>
  <c r="G92" i="4"/>
  <c r="G97" i="4"/>
  <c r="G103" i="4"/>
  <c r="G121" i="4"/>
  <c r="G62" i="4"/>
  <c r="G78" i="4"/>
  <c r="G94" i="4"/>
  <c r="G110" i="4"/>
  <c r="G117" i="4"/>
  <c r="G114" i="4"/>
  <c r="G99" i="4"/>
  <c r="G96" i="4"/>
  <c r="G85" i="4"/>
  <c r="G82" i="4"/>
  <c r="G67" i="4"/>
  <c r="G64" i="4"/>
  <c r="K52" i="4"/>
  <c r="K120" i="4"/>
  <c r="K56" i="4"/>
  <c r="K110" i="4"/>
  <c r="K109" i="4"/>
  <c r="K81" i="4"/>
  <c r="K98" i="4"/>
  <c r="K53" i="4"/>
  <c r="K57" i="4"/>
  <c r="K121" i="4"/>
  <c r="K74" i="4"/>
  <c r="K75" i="4"/>
  <c r="K100" i="4"/>
  <c r="K97" i="4"/>
  <c r="K59" i="4"/>
  <c r="K69" i="4"/>
  <c r="K70" i="4"/>
  <c r="K67" i="4"/>
  <c r="K108" i="4"/>
  <c r="K115" i="4"/>
  <c r="K94" i="4"/>
  <c r="K93" i="4"/>
  <c r="K113" i="4"/>
  <c r="K91" i="4"/>
  <c r="K85" i="4"/>
  <c r="K73" i="4"/>
  <c r="K87" i="4"/>
  <c r="K90" i="4"/>
  <c r="K107" i="4"/>
  <c r="K60" i="4"/>
  <c r="K63" i="4"/>
  <c r="K80" i="4"/>
  <c r="K101" i="4"/>
  <c r="K86" i="4"/>
  <c r="K99" i="4"/>
  <c r="K116" i="4"/>
  <c r="K83" i="4"/>
  <c r="K78" i="4"/>
  <c r="K95" i="4"/>
  <c r="K77" i="4"/>
  <c r="K103" i="4"/>
  <c r="K72" i="4"/>
  <c r="K117" i="4"/>
  <c r="K89" i="4"/>
  <c r="K119" i="4"/>
  <c r="K92" i="4"/>
  <c r="K84" i="4"/>
  <c r="K76" i="4"/>
  <c r="K111" i="4"/>
  <c r="K65" i="4"/>
  <c r="K118" i="4"/>
  <c r="K55" i="4"/>
  <c r="K61" i="4"/>
  <c r="K105" i="4"/>
  <c r="K112" i="4"/>
  <c r="K82" i="4"/>
  <c r="K79" i="4"/>
  <c r="K96" i="4"/>
  <c r="K62" i="4"/>
  <c r="K66" i="4"/>
  <c r="K58" i="4"/>
  <c r="K104" i="4"/>
  <c r="K114" i="4"/>
  <c r="K54" i="4"/>
  <c r="K88" i="4"/>
  <c r="K106" i="4"/>
  <c r="K71" i="4"/>
  <c r="K102" i="4"/>
  <c r="K64" i="4"/>
  <c r="K51" i="4"/>
  <c r="K50" i="4"/>
  <c r="K68" i="4"/>
  <c r="J114" i="4"/>
  <c r="J115" i="4"/>
  <c r="J116" i="4"/>
  <c r="J117" i="4"/>
  <c r="J118" i="4"/>
  <c r="J119" i="4"/>
  <c r="J120" i="4"/>
  <c r="J121" i="4"/>
  <c r="J106" i="4"/>
  <c r="J107" i="4"/>
  <c r="J108" i="4"/>
  <c r="J109" i="4"/>
  <c r="J110" i="4"/>
  <c r="J111" i="4"/>
  <c r="J112" i="4"/>
  <c r="J113" i="4"/>
  <c r="J98" i="4"/>
  <c r="J99" i="4"/>
  <c r="J100" i="4"/>
  <c r="J101" i="4"/>
  <c r="J102" i="4"/>
  <c r="J103" i="4"/>
  <c r="J104" i="4"/>
  <c r="J105" i="4"/>
  <c r="J90" i="4"/>
  <c r="J91" i="4"/>
  <c r="J92" i="4"/>
  <c r="J93" i="4"/>
  <c r="J94" i="4"/>
  <c r="J95" i="4"/>
  <c r="J96" i="4"/>
  <c r="J97" i="4"/>
  <c r="J82" i="4"/>
  <c r="J83" i="4"/>
  <c r="J84" i="4"/>
  <c r="J85" i="4"/>
  <c r="J86" i="4"/>
  <c r="J87" i="4"/>
  <c r="J88" i="4"/>
  <c r="J89" i="4"/>
  <c r="J74" i="4"/>
  <c r="J75" i="4"/>
  <c r="J76" i="4"/>
  <c r="J77" i="4"/>
  <c r="J78" i="4"/>
  <c r="J79" i="4"/>
  <c r="J80" i="4"/>
  <c r="J81" i="4"/>
  <c r="J66" i="4"/>
  <c r="J67" i="4"/>
  <c r="J68" i="4"/>
  <c r="J69" i="4"/>
  <c r="J70" i="4"/>
  <c r="J71" i="4"/>
  <c r="J72" i="4"/>
  <c r="J73" i="4"/>
  <c r="J58" i="4"/>
  <c r="J59" i="4"/>
  <c r="J60" i="4"/>
  <c r="J61" i="4"/>
  <c r="J62" i="4"/>
  <c r="J63" i="4"/>
  <c r="J64" i="4"/>
  <c r="J65" i="4"/>
  <c r="J51" i="4"/>
  <c r="J52" i="4"/>
  <c r="J53" i="4"/>
  <c r="J54" i="4"/>
  <c r="J55" i="4"/>
  <c r="J56" i="4"/>
  <c r="J57" i="4"/>
  <c r="I54" i="4" l="1"/>
  <c r="I117" i="4"/>
  <c r="I69" i="4"/>
  <c r="I102" i="4"/>
  <c r="I57" i="4"/>
  <c r="I75" i="4"/>
  <c r="I67" i="4"/>
  <c r="I87" i="4"/>
  <c r="I105" i="4"/>
  <c r="I107" i="4"/>
  <c r="I113" i="4"/>
  <c r="I84" i="4"/>
  <c r="I64" i="4"/>
  <c r="I66" i="4"/>
  <c r="I92" i="4"/>
  <c r="I81" i="4"/>
  <c r="I112" i="4"/>
  <c r="I52" i="4"/>
  <c r="I70" i="4"/>
  <c r="I89" i="4"/>
  <c r="I98" i="4"/>
  <c r="I100" i="4"/>
  <c r="I82" i="4"/>
  <c r="I62" i="4"/>
  <c r="I79" i="4"/>
  <c r="I59" i="4"/>
  <c r="I60" i="4"/>
  <c r="I97" i="4"/>
  <c r="I53" i="4"/>
  <c r="I78" i="4"/>
  <c r="I58" i="4"/>
  <c r="I116" i="4"/>
  <c r="I77" i="4"/>
  <c r="I114" i="4"/>
  <c r="I119" i="4"/>
  <c r="I94" i="4"/>
  <c r="I109" i="4"/>
  <c r="I111" i="4"/>
  <c r="I80" i="4"/>
  <c r="I108" i="4"/>
  <c r="I96" i="4"/>
  <c r="I110" i="4"/>
  <c r="I71" i="4"/>
  <c r="I72" i="4"/>
  <c r="I56" i="4"/>
  <c r="I120" i="4"/>
  <c r="I93" i="4"/>
  <c r="I90" i="4"/>
  <c r="I73" i="4"/>
  <c r="I121" i="4"/>
  <c r="I99" i="4"/>
  <c r="I91" i="4"/>
  <c r="I68" i="4"/>
  <c r="I95" i="4"/>
  <c r="I85" i="4"/>
  <c r="I118" i="4"/>
  <c r="I106" i="4"/>
  <c r="I61" i="4"/>
  <c r="I76" i="4"/>
  <c r="I74" i="4"/>
  <c r="I83" i="4"/>
  <c r="I55" i="4"/>
  <c r="I65" i="4"/>
  <c r="I51" i="4"/>
  <c r="I63" i="4"/>
  <c r="I103" i="4"/>
  <c r="I104" i="4"/>
  <c r="I88" i="4"/>
  <c r="I115" i="4"/>
  <c r="I86" i="4"/>
  <c r="I101" i="4"/>
  <c r="I50" i="4"/>
  <c r="J50" i="4" s="1"/>
</calcChain>
</file>

<file path=xl/sharedStrings.xml><?xml version="1.0" encoding="utf-8"?>
<sst xmlns="http://schemas.openxmlformats.org/spreadsheetml/2006/main" count="72" uniqueCount="32">
  <si>
    <t>User Stories</t>
  </si>
  <si>
    <t>Code</t>
  </si>
  <si>
    <t>Name</t>
  </si>
  <si>
    <t>US01</t>
  </si>
  <si>
    <t>US02</t>
  </si>
  <si>
    <t>US03</t>
  </si>
  <si>
    <t>Points</t>
  </si>
  <si>
    <t>Tasks</t>
  </si>
  <si>
    <t>Description</t>
  </si>
  <si>
    <t>Start Date:</t>
  </si>
  <si>
    <t>Review Date:</t>
  </si>
  <si>
    <t>Done</t>
  </si>
  <si>
    <t>Total</t>
  </si>
  <si>
    <t>Burndown Chart</t>
  </si>
  <si>
    <t>Day</t>
  </si>
  <si>
    <t>Ideal</t>
  </si>
  <si>
    <t>Date</t>
  </si>
  <si>
    <t>Responsible</t>
  </si>
  <si>
    <t>Remaining Points</t>
  </si>
  <si>
    <t>WIP</t>
  </si>
  <si>
    <t>DONE</t>
  </si>
  <si>
    <t>TO DO</t>
  </si>
  <si>
    <t>US04</t>
  </si>
  <si>
    <t>US05</t>
  </si>
  <si>
    <t>Task Group</t>
  </si>
  <si>
    <t>Task</t>
  </si>
  <si>
    <t>User Story 1</t>
  </si>
  <si>
    <t>User Story 2</t>
  </si>
  <si>
    <t>User Story 3</t>
  </si>
  <si>
    <t>User Story 4</t>
  </si>
  <si>
    <t>User Story 5</t>
  </si>
  <si>
    <t>Burnt Points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</si>
</sst>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9" formatCode="0.0"/>
  </numFmts>
  <fonts count="3" x14ac:knownFonts="1">
    <font>
      <sz val="10"/>
      <name val="Arial"/>
    </font>
    <font>
      <b/>
      <sz val="10"/>
      <name val="Arial"/>
      <family val="2"/>
    </font>
    <font>
      <sz val="10"/>
      <name val="Arial"/>
      <family val="2"/>
    </font>
  </fonts>
  <fills count="8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rgb="FFFF99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99FF33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2" tint="-0.249977111117893"/>
        <bgColor indexed="64"/>
      </patternFill>
    </fill>
  </fills>
  <borders count="2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</borders>
  <cellStyleXfs count="1">
    <xf numFmtId="0" fontId="0" fillId="0" borderId="0"/>
  </cellStyleXfs>
  <cellXfs count="53">
    <xf numFmtId="0" fontId="0" fillId="0" borderId="0" xfId="0"/>
    <xf numFmtId="0" fontId="2" fillId="0" borderId="1" xfId="0" applyFont="1" applyBorder="1" applyAlignment="1">
      <alignment horizontal="center" vertical="center"/>
    </xf>
    <xf numFmtId="14" fontId="0" fillId="0" borderId="0" xfId="0" applyNumberFormat="1"/>
    <xf numFmtId="0" fontId="2" fillId="0" borderId="0" xfId="0" applyFont="1"/>
    <xf numFmtId="0" fontId="1" fillId="2" borderId="2" xfId="0" applyFont="1" applyFill="1" applyBorder="1" applyAlignment="1">
      <alignment horizontal="center" vertical="center" wrapText="1"/>
    </xf>
    <xf numFmtId="0" fontId="1" fillId="2" borderId="3" xfId="0" applyFont="1" applyFill="1" applyBorder="1" applyAlignment="1">
      <alignment horizontal="center" vertical="center" wrapText="1"/>
    </xf>
    <xf numFmtId="0" fontId="1" fillId="2" borderId="4" xfId="0" applyFont="1" applyFill="1" applyBorder="1" applyAlignment="1">
      <alignment horizontal="center" vertical="center" wrapText="1"/>
    </xf>
    <xf numFmtId="0" fontId="0" fillId="0" borderId="1" xfId="0" applyBorder="1" applyAlignment="1">
      <alignment horizontal="center" vertical="center"/>
    </xf>
    <xf numFmtId="0" fontId="0" fillId="0" borderId="0" xfId="0" applyAlignment="1">
      <alignment vertical="center"/>
    </xf>
    <xf numFmtId="0" fontId="2" fillId="0" borderId="0" xfId="0" applyFont="1" applyAlignment="1">
      <alignment vertical="center"/>
    </xf>
    <xf numFmtId="0" fontId="1" fillId="0" borderId="0" xfId="0" applyFont="1" applyFill="1" applyBorder="1" applyAlignment="1">
      <alignment horizontal="center" vertical="center"/>
    </xf>
    <xf numFmtId="0" fontId="2" fillId="3" borderId="5" xfId="0" applyFont="1" applyFill="1" applyBorder="1" applyAlignment="1">
      <alignment horizontal="center" vertical="center"/>
    </xf>
    <xf numFmtId="0" fontId="2" fillId="4" borderId="6" xfId="0" applyFont="1" applyFill="1" applyBorder="1" applyAlignment="1">
      <alignment horizontal="center" vertical="center"/>
    </xf>
    <xf numFmtId="0" fontId="2" fillId="5" borderId="7" xfId="0" applyFont="1" applyFill="1" applyBorder="1" applyAlignment="1">
      <alignment horizontal="center" vertical="center"/>
    </xf>
    <xf numFmtId="0" fontId="1" fillId="6" borderId="8" xfId="0" applyFont="1" applyFill="1" applyBorder="1" applyAlignment="1">
      <alignment horizontal="center" vertical="center"/>
    </xf>
    <xf numFmtId="0" fontId="1" fillId="6" borderId="7" xfId="0" applyFont="1" applyFill="1" applyBorder="1" applyAlignment="1">
      <alignment horizontal="center" vertical="center"/>
    </xf>
    <xf numFmtId="0" fontId="1" fillId="6" borderId="5" xfId="0" applyFont="1" applyFill="1" applyBorder="1" applyAlignment="1">
      <alignment horizontal="center" vertical="center"/>
    </xf>
    <xf numFmtId="0" fontId="1" fillId="7" borderId="8" xfId="0" applyFont="1" applyFill="1" applyBorder="1" applyAlignment="1">
      <alignment horizontal="center" vertical="center"/>
    </xf>
    <xf numFmtId="0" fontId="2" fillId="0" borderId="2" xfId="0" applyFont="1" applyBorder="1" applyAlignment="1">
      <alignment horizontal="center" vertical="center"/>
    </xf>
    <xf numFmtId="0" fontId="2" fillId="0" borderId="0" xfId="0" applyFont="1" applyBorder="1" applyAlignment="1">
      <alignment horizontal="center" vertical="center"/>
    </xf>
    <xf numFmtId="0" fontId="2" fillId="0" borderId="3" xfId="0" applyFont="1" applyBorder="1" applyAlignment="1">
      <alignment horizontal="center" vertical="center"/>
    </xf>
    <xf numFmtId="0" fontId="2" fillId="0" borderId="4" xfId="0" applyFont="1" applyBorder="1" applyAlignment="1">
      <alignment horizontal="center" vertical="center"/>
    </xf>
    <xf numFmtId="0" fontId="2" fillId="0" borderId="8" xfId="0" applyFont="1" applyBorder="1" applyAlignment="1">
      <alignment horizontal="center" vertical="center"/>
    </xf>
    <xf numFmtId="0" fontId="2" fillId="0" borderId="1" xfId="0" applyFont="1" applyBorder="1" applyAlignment="1">
      <alignment horizontal="center" vertical="center" wrapText="1"/>
    </xf>
    <xf numFmtId="169" fontId="2" fillId="0" borderId="1" xfId="0" applyNumberFormat="1" applyFont="1" applyFill="1" applyBorder="1" applyAlignment="1">
      <alignment horizontal="center" vertical="center"/>
    </xf>
    <xf numFmtId="169" fontId="2" fillId="0" borderId="1" xfId="0" applyNumberFormat="1" applyFont="1" applyBorder="1" applyAlignment="1">
      <alignment horizontal="center" vertical="center"/>
    </xf>
    <xf numFmtId="14" fontId="2" fillId="0" borderId="9" xfId="0" applyNumberFormat="1" applyFont="1" applyFill="1" applyBorder="1" applyAlignment="1">
      <alignment horizontal="center" vertical="center"/>
    </xf>
    <xf numFmtId="14" fontId="2" fillId="0" borderId="10" xfId="0" applyNumberFormat="1" applyFont="1" applyFill="1" applyBorder="1" applyAlignment="1">
      <alignment horizontal="center" vertical="center"/>
    </xf>
    <xf numFmtId="0" fontId="2" fillId="0" borderId="1" xfId="0" applyNumberFormat="1" applyFont="1" applyBorder="1" applyAlignment="1">
      <alignment horizontal="center" vertical="center"/>
    </xf>
    <xf numFmtId="14" fontId="2" fillId="0" borderId="1" xfId="0" applyNumberFormat="1" applyFont="1" applyBorder="1" applyAlignment="1">
      <alignment horizontal="center" vertical="center"/>
    </xf>
    <xf numFmtId="0" fontId="1" fillId="2" borderId="11" xfId="0" applyFont="1" applyFill="1" applyBorder="1" applyAlignment="1">
      <alignment horizontal="center" vertical="center" wrapText="1"/>
    </xf>
    <xf numFmtId="14" fontId="2" fillId="0" borderId="0" xfId="0" applyNumberFormat="1" applyFont="1" applyFill="1" applyBorder="1" applyAlignment="1">
      <alignment horizontal="center" vertical="center"/>
    </xf>
    <xf numFmtId="2" fontId="2" fillId="0" borderId="1" xfId="0" applyNumberFormat="1" applyFont="1" applyBorder="1" applyAlignment="1">
      <alignment horizontal="center" vertical="center"/>
    </xf>
    <xf numFmtId="0" fontId="1" fillId="7" borderId="12" xfId="0" applyFont="1" applyFill="1" applyBorder="1" applyAlignment="1">
      <alignment horizontal="center" vertical="center"/>
    </xf>
    <xf numFmtId="0" fontId="2" fillId="6" borderId="1" xfId="0" applyFont="1" applyFill="1" applyBorder="1" applyAlignment="1">
      <alignment vertical="center"/>
    </xf>
    <xf numFmtId="169" fontId="2" fillId="7" borderId="1" xfId="0" applyNumberFormat="1" applyFont="1" applyFill="1" applyBorder="1" applyAlignment="1">
      <alignment horizontal="center" vertical="center"/>
    </xf>
    <xf numFmtId="0" fontId="1" fillId="6" borderId="13" xfId="0" applyFont="1" applyFill="1" applyBorder="1" applyAlignment="1">
      <alignment horizontal="center" vertical="center"/>
    </xf>
    <xf numFmtId="0" fontId="1" fillId="6" borderId="14" xfId="0" applyFont="1" applyFill="1" applyBorder="1" applyAlignment="1">
      <alignment horizontal="center" vertical="center"/>
    </xf>
    <xf numFmtId="0" fontId="1" fillId="6" borderId="9" xfId="0" applyFont="1" applyFill="1" applyBorder="1" applyAlignment="1">
      <alignment horizontal="center" vertical="center"/>
    </xf>
    <xf numFmtId="0" fontId="1" fillId="7" borderId="13" xfId="0" applyFont="1" applyFill="1" applyBorder="1" applyAlignment="1">
      <alignment horizontal="center" vertical="center"/>
    </xf>
    <xf numFmtId="0" fontId="1" fillId="7" borderId="9" xfId="0" applyFont="1" applyFill="1" applyBorder="1" applyAlignment="1">
      <alignment horizontal="center" vertical="center"/>
    </xf>
    <xf numFmtId="0" fontId="1" fillId="6" borderId="13" xfId="0" applyFont="1" applyFill="1" applyBorder="1" applyAlignment="1">
      <alignment horizontal="center" vertical="center"/>
    </xf>
    <xf numFmtId="0" fontId="1" fillId="6" borderId="14" xfId="0" applyFont="1" applyFill="1" applyBorder="1" applyAlignment="1">
      <alignment horizontal="center" vertical="center"/>
    </xf>
    <xf numFmtId="0" fontId="1" fillId="6" borderId="9" xfId="0" applyFont="1" applyFill="1" applyBorder="1" applyAlignment="1">
      <alignment horizontal="center" vertical="center"/>
    </xf>
    <xf numFmtId="0" fontId="1" fillId="6" borderId="1" xfId="0" applyFont="1" applyFill="1" applyBorder="1" applyAlignment="1">
      <alignment horizontal="center" vertical="center"/>
    </xf>
    <xf numFmtId="0" fontId="2" fillId="0" borderId="15" xfId="0" applyFont="1" applyBorder="1" applyAlignment="1">
      <alignment horizontal="center" vertical="center"/>
    </xf>
    <xf numFmtId="0" fontId="2" fillId="0" borderId="16" xfId="0" applyFont="1" applyBorder="1" applyAlignment="1">
      <alignment horizontal="center" vertical="center"/>
    </xf>
    <xf numFmtId="0" fontId="2" fillId="0" borderId="17" xfId="0" applyFont="1" applyBorder="1" applyAlignment="1">
      <alignment horizontal="center" vertical="center"/>
    </xf>
    <xf numFmtId="0" fontId="2" fillId="0" borderId="18" xfId="0" applyFont="1" applyBorder="1" applyAlignment="1">
      <alignment horizontal="center" vertical="center"/>
    </xf>
    <xf numFmtId="0" fontId="2" fillId="0" borderId="19" xfId="0" applyFont="1" applyBorder="1" applyAlignment="1">
      <alignment horizontal="center" vertical="center"/>
    </xf>
    <xf numFmtId="0" fontId="2" fillId="0" borderId="0" xfId="0" applyFont="1" applyBorder="1" applyAlignment="1">
      <alignment horizontal="center" vertical="center"/>
    </xf>
    <xf numFmtId="0" fontId="2" fillId="0" borderId="20" xfId="0" applyFont="1" applyBorder="1" applyAlignment="1">
      <alignment horizontal="center" vertical="center"/>
    </xf>
    <xf numFmtId="0" fontId="2" fillId="0" borderId="21" xfId="0" applyFont="1" applyBorder="1" applyAlignment="1">
      <alignment horizontal="center" vertical="center"/>
    </xf>
  </cellXfs>
  <cellStyles count="1">
    <cellStyle name="Normal" xfId="0" builtinId="0"/>
  </cellStyles>
  <dxfs count="22">
    <dxf>
      <font>
        <color theme="0"/>
      </font>
      <border>
        <left/>
        <right/>
        <top/>
        <bottom/>
      </border>
    </dxf>
    <dxf>
      <fill>
        <patternFill>
          <bgColor rgb="FF99FF33"/>
        </patternFill>
      </fill>
    </dxf>
    <dxf>
      <fill>
        <patternFill>
          <bgColor rgb="FFFFFF00"/>
        </patternFill>
      </fill>
    </dxf>
    <dxf>
      <fill>
        <patternFill>
          <bgColor rgb="FFFF9900"/>
        </patternFill>
      </fill>
    </dxf>
    <dxf>
      <fill>
        <patternFill>
          <bgColor rgb="FF99FF33"/>
        </patternFill>
      </fill>
    </dxf>
    <dxf>
      <fill>
        <patternFill>
          <bgColor rgb="FFFFFF00"/>
        </patternFill>
      </fill>
    </dxf>
    <dxf>
      <fill>
        <patternFill>
          <bgColor rgb="FFFF9900"/>
        </patternFill>
      </fill>
    </dxf>
    <dxf>
      <fill>
        <patternFill>
          <bgColor rgb="FF99FF33"/>
        </patternFill>
      </fill>
    </dxf>
    <dxf>
      <fill>
        <patternFill>
          <bgColor rgb="FFFFFF00"/>
        </patternFill>
      </fill>
    </dxf>
    <dxf>
      <fill>
        <patternFill>
          <bgColor rgb="FFFF9900"/>
        </patternFill>
      </fill>
    </dxf>
    <dxf>
      <fill>
        <patternFill>
          <bgColor rgb="FF99FF33"/>
        </patternFill>
      </fill>
    </dxf>
    <dxf>
      <fill>
        <patternFill>
          <bgColor rgb="FFFFFF00"/>
        </patternFill>
      </fill>
    </dxf>
    <dxf>
      <fill>
        <patternFill>
          <bgColor rgb="FFFF9900"/>
        </patternFill>
      </fill>
    </dxf>
    <dxf>
      <fill>
        <patternFill>
          <bgColor rgb="FF99FF33"/>
        </patternFill>
      </fill>
    </dxf>
    <dxf>
      <fill>
        <patternFill>
          <bgColor rgb="FFFFFF00"/>
        </patternFill>
      </fill>
    </dxf>
    <dxf>
      <fill>
        <patternFill>
          <bgColor rgb="FFFF9900"/>
        </patternFill>
      </fill>
    </dxf>
    <dxf>
      <fill>
        <patternFill>
          <bgColor rgb="FF99FF33"/>
        </patternFill>
      </fill>
    </dxf>
    <dxf>
      <fill>
        <patternFill>
          <bgColor rgb="FFFFFF00"/>
        </patternFill>
      </fill>
    </dxf>
    <dxf>
      <fill>
        <patternFill>
          <bgColor rgb="FFFF9900"/>
        </patternFill>
      </fill>
    </dxf>
    <dxf>
      <fill>
        <patternFill>
          <bgColor rgb="FF99FF33"/>
        </patternFill>
      </fill>
    </dxf>
    <dxf>
      <fill>
        <patternFill>
          <bgColor rgb="FFFFFF00"/>
        </patternFill>
      </fill>
    </dxf>
    <dxf>
      <fill>
        <patternFill>
          <bgColor rgb="FFFF99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3.xml"/><Relationship Id="rId3" Type="http://schemas.openxmlformats.org/officeDocument/2006/relationships/styles" Target="styles.xml"/><Relationship Id="rId7" Type="http://schemas.openxmlformats.org/officeDocument/2006/relationships/customXml" Target="../customXml/item2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ustomXml" Target="../customXml/item1.xml"/><Relationship Id="rId11" Type="http://schemas.microsoft.com/office/2006/relationships/vbaProject" Target="vbaProject.bin"/><Relationship Id="rId5" Type="http://schemas.openxmlformats.org/officeDocument/2006/relationships/calcChain" Target="calcChain.xml"/><Relationship Id="rId10" Type="http://schemas.openxmlformats.org/officeDocument/2006/relationships/customXml" Target="../customXml/item5.xml"/><Relationship Id="rId4" Type="http://schemas.openxmlformats.org/officeDocument/2006/relationships/sharedStrings" Target="sharedStrings.xml"/><Relationship Id="rId9" Type="http://schemas.openxmlformats.org/officeDocument/2006/relationships/customXml" Target="../customXml/item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10"/>
    </mc:Choice>
    <mc:Fallback>
      <c:style val="10"/>
    </mc:Fallback>
  </mc:AlternateContent>
  <c:chart>
    <c:title>
      <c:tx>
        <c:rich>
          <a:bodyPr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r>
              <a:rPr lang="pt-BR"/>
              <a:t>Burndown Chart</a:t>
            </a:r>
          </a:p>
        </c:rich>
      </c:tx>
      <c:layout/>
      <c:overlay val="1"/>
    </c:title>
    <c:autoTitleDeleted val="0"/>
    <c:plotArea>
      <c:layout>
        <c:manualLayout>
          <c:layoutTarget val="inner"/>
          <c:xMode val="edge"/>
          <c:yMode val="edge"/>
          <c:x val="7.4639435252779621E-2"/>
          <c:y val="0.10183511575978375"/>
          <c:w val="0.8800932272129951"/>
          <c:h val="0.74006261472217938"/>
        </c:manualLayout>
      </c:layout>
      <c:lineChart>
        <c:grouping val="standard"/>
        <c:varyColors val="0"/>
        <c:ser>
          <c:idx val="1"/>
          <c:order val="0"/>
          <c:tx>
            <c:v>Ideal</c:v>
          </c:tx>
          <c:marker>
            <c:symbol val="none"/>
          </c:marker>
          <c:cat>
            <c:numRef>
              <c:f>'New Project'!Date</c:f>
              <c:numCache>
                <c:formatCode>m/d/yyyy</c:formatCode>
                <c:ptCount val="72"/>
                <c:pt idx="0">
                  <c:v>0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</c:numCache>
            </c:numRef>
          </c:cat>
          <c:val>
            <c:numRef>
              <c:f>'New Project'!Ideal</c:f>
              <c:numCache>
                <c:formatCode>0.00</c:formatCode>
                <c:ptCount val="7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</c:numCache>
            </c:numRef>
          </c:val>
          <c:smooth val="0"/>
        </c:ser>
        <c:ser>
          <c:idx val="0"/>
          <c:order val="1"/>
          <c:tx>
            <c:v>Burned Points</c:v>
          </c:tx>
          <c:marker>
            <c:symbol val="none"/>
          </c:marker>
          <c:cat>
            <c:numRef>
              <c:f>'New Project'!Date</c:f>
              <c:numCache>
                <c:formatCode>m/d/yyyy</c:formatCode>
                <c:ptCount val="72"/>
                <c:pt idx="0">
                  <c:v>0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</c:numCache>
            </c:numRef>
          </c:cat>
          <c:val>
            <c:numRef>
              <c:f>'New Project'!RemainingPoints</c:f>
              <c:numCache>
                <c:formatCode>General</c:formatCode>
                <c:ptCount val="72"/>
                <c:pt idx="0">
                  <c:v>0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130304"/>
        <c:axId val="46131840"/>
      </c:lineChart>
      <c:dateAx>
        <c:axId val="46130304"/>
        <c:scaling>
          <c:orientation val="minMax"/>
        </c:scaling>
        <c:delete val="0"/>
        <c:axPos val="b"/>
        <c:numFmt formatCode="m/d/yyyy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pt-BR"/>
          </a:p>
        </c:txPr>
        <c:crossAx val="46131840"/>
        <c:crosses val="autoZero"/>
        <c:auto val="1"/>
        <c:lblOffset val="100"/>
        <c:baseTimeUnit val="days"/>
      </c:dateAx>
      <c:valAx>
        <c:axId val="46131840"/>
        <c:scaling>
          <c:orientation val="minMax"/>
          <c:min val="0"/>
        </c:scaling>
        <c:delete val="0"/>
        <c:axPos val="l"/>
        <c:majorGridlines/>
        <c:numFmt formatCode="0.00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pt-BR"/>
          </a:p>
        </c:txPr>
        <c:crossAx val="46130304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69635712539981076"/>
          <c:y val="1.6339869281045753E-2"/>
          <c:w val="0.28205170709936556"/>
          <c:h val="6.8627622527576218E-2"/>
        </c:manualLayout>
      </c:layout>
      <c:overlay val="0"/>
      <c:txPr>
        <a:bodyPr/>
        <a:lstStyle/>
        <a:p>
          <a:pPr>
            <a:defRPr sz="710" b="0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defRPr>
          </a:pPr>
          <a:endParaRPr lang="pt-BR"/>
        </a:p>
      </c:txPr>
    </c:legend>
    <c:plotVisOnly val="1"/>
    <c:dispBlanksAs val="zero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pt-BR"/>
    </a:p>
  </c:txPr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180975</xdr:colOff>
      <xdr:row>48</xdr:row>
      <xdr:rowOff>38100</xdr:rowOff>
    </xdr:from>
    <xdr:to>
      <xdr:col>5</xdr:col>
      <xdr:colOff>400050</xdr:colOff>
      <xdr:row>73</xdr:row>
      <xdr:rowOff>152400</xdr:rowOff>
    </xdr:to>
    <xdr:graphicFrame macro="">
      <xdr:nvGraphicFramePr>
        <xdr:cNvPr id="144678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K190"/>
  <sheetViews>
    <sheetView showGridLines="0" tabSelected="1" workbookViewId="0">
      <selection activeCell="B8" sqref="B8"/>
    </sheetView>
  </sheetViews>
  <sheetFormatPr defaultRowHeight="12.75" x14ac:dyDescent="0.2"/>
  <cols>
    <col min="1" max="1" width="3.7109375" customWidth="1"/>
    <col min="2" max="2" width="15.7109375" customWidth="1"/>
    <col min="3" max="3" width="33.7109375" customWidth="1"/>
    <col min="4" max="4" width="35.7109375" customWidth="1"/>
    <col min="5" max="5" width="13.7109375" customWidth="1"/>
    <col min="6" max="6" width="8.7109375" customWidth="1"/>
    <col min="7" max="8" width="11.7109375" customWidth="1"/>
    <col min="9" max="9" width="15.7109375" customWidth="1"/>
    <col min="10" max="10" width="17.7109375" customWidth="1"/>
    <col min="11" max="11" width="17.28515625" bestFit="1" customWidth="1"/>
  </cols>
  <sheetData>
    <row r="1" spans="1:11" ht="18" customHeight="1" thickBot="1" x14ac:dyDescent="0.25">
      <c r="A1" s="3"/>
      <c r="B1" s="3"/>
      <c r="C1" s="3"/>
      <c r="D1" s="3"/>
      <c r="F1" s="3"/>
      <c r="G1" s="3"/>
      <c r="H1" s="3"/>
      <c r="I1" s="3"/>
      <c r="J1" s="3"/>
    </row>
    <row r="2" spans="1:11" ht="18" customHeight="1" thickBot="1" x14ac:dyDescent="0.25">
      <c r="A2" s="3"/>
      <c r="B2" s="36" t="s">
        <v>0</v>
      </c>
      <c r="C2" s="37"/>
      <c r="D2" s="37"/>
      <c r="E2" s="38"/>
      <c r="F2" s="9"/>
      <c r="G2" s="16" t="s">
        <v>7</v>
      </c>
      <c r="H2" s="9"/>
      <c r="I2" s="9"/>
      <c r="J2" s="8"/>
      <c r="K2" s="3"/>
    </row>
    <row r="3" spans="1:11" ht="18" customHeight="1" thickBot="1" x14ac:dyDescent="0.25">
      <c r="A3" s="3"/>
      <c r="B3" s="17" t="s">
        <v>1</v>
      </c>
      <c r="C3" s="39" t="s">
        <v>2</v>
      </c>
      <c r="D3" s="40"/>
      <c r="E3" s="17" t="s">
        <v>6</v>
      </c>
      <c r="F3" s="9"/>
      <c r="G3" s="11" t="s">
        <v>21</v>
      </c>
      <c r="H3" s="9"/>
      <c r="I3" s="9"/>
      <c r="J3" s="8"/>
      <c r="K3" s="3"/>
    </row>
    <row r="4" spans="1:11" ht="18" customHeight="1" x14ac:dyDescent="0.2">
      <c r="A4" s="3"/>
      <c r="B4" s="4" t="s">
        <v>3</v>
      </c>
      <c r="C4" s="45"/>
      <c r="D4" s="46"/>
      <c r="E4" s="18"/>
      <c r="F4" s="9"/>
      <c r="G4" s="12" t="s">
        <v>19</v>
      </c>
      <c r="H4" s="9"/>
      <c r="I4" s="9"/>
      <c r="J4" s="8"/>
      <c r="K4" s="3"/>
    </row>
    <row r="5" spans="1:11" ht="18" customHeight="1" thickBot="1" x14ac:dyDescent="0.25">
      <c r="A5" s="3"/>
      <c r="B5" s="5" t="s">
        <v>4</v>
      </c>
      <c r="C5" s="47"/>
      <c r="D5" s="48"/>
      <c r="E5" s="20"/>
      <c r="F5" s="9"/>
      <c r="G5" s="13" t="s">
        <v>20</v>
      </c>
      <c r="H5" s="9"/>
      <c r="I5" s="9"/>
      <c r="J5" s="8"/>
    </row>
    <row r="6" spans="1:11" ht="18" customHeight="1" x14ac:dyDescent="0.2">
      <c r="A6" s="3"/>
      <c r="B6" s="30" t="s">
        <v>5</v>
      </c>
      <c r="C6" s="49"/>
      <c r="D6" s="50"/>
      <c r="E6" s="20"/>
      <c r="F6" s="9"/>
      <c r="H6" s="9"/>
      <c r="I6" s="9"/>
      <c r="J6" s="9"/>
    </row>
    <row r="7" spans="1:11" ht="18" customHeight="1" x14ac:dyDescent="0.2">
      <c r="A7" s="3"/>
      <c r="B7" s="30" t="s">
        <v>22</v>
      </c>
      <c r="C7" s="47"/>
      <c r="D7" s="48"/>
      <c r="E7" s="20"/>
      <c r="F7" s="9"/>
      <c r="H7" s="9"/>
      <c r="I7" s="9"/>
      <c r="J7" s="9"/>
    </row>
    <row r="8" spans="1:11" ht="18" customHeight="1" thickBot="1" x14ac:dyDescent="0.25">
      <c r="A8" s="3"/>
      <c r="B8" s="6" t="s">
        <v>23</v>
      </c>
      <c r="C8" s="51"/>
      <c r="D8" s="52"/>
      <c r="E8" s="21"/>
      <c r="F8" s="9"/>
      <c r="H8" s="9"/>
      <c r="I8" s="9"/>
      <c r="J8" s="9"/>
    </row>
    <row r="9" spans="1:11" ht="18" customHeight="1" thickBot="1" x14ac:dyDescent="0.25">
      <c r="A9" s="3"/>
      <c r="D9" s="14" t="s">
        <v>12</v>
      </c>
      <c r="E9" s="22">
        <f>SUM(E4:E8)</f>
        <v>0</v>
      </c>
      <c r="F9" s="9"/>
      <c r="H9" s="9"/>
      <c r="I9" s="9"/>
      <c r="J9" s="9"/>
    </row>
    <row r="10" spans="1:11" ht="18" customHeight="1" thickBot="1" x14ac:dyDescent="0.25">
      <c r="A10" s="3"/>
      <c r="F10" s="19"/>
      <c r="H10" s="9"/>
      <c r="I10" s="9"/>
      <c r="J10" s="9"/>
    </row>
    <row r="11" spans="1:11" ht="18" customHeight="1" thickBot="1" x14ac:dyDescent="0.25">
      <c r="A11" s="3"/>
      <c r="B11" s="41" t="s">
        <v>26</v>
      </c>
      <c r="C11" s="42"/>
      <c r="D11" s="42"/>
      <c r="E11" s="42"/>
      <c r="F11" s="42"/>
      <c r="G11" s="42"/>
      <c r="H11" s="42"/>
      <c r="I11" s="43"/>
      <c r="J11" s="10"/>
    </row>
    <row r="12" spans="1:11" ht="18" customHeight="1" x14ac:dyDescent="0.2">
      <c r="A12" s="3"/>
      <c r="B12" s="33" t="s">
        <v>24</v>
      </c>
      <c r="C12" s="33" t="s">
        <v>25</v>
      </c>
      <c r="D12" s="33" t="s">
        <v>8</v>
      </c>
      <c r="E12" s="33" t="s">
        <v>17</v>
      </c>
      <c r="F12" s="33" t="s">
        <v>6</v>
      </c>
      <c r="G12" s="33" t="s">
        <v>11</v>
      </c>
      <c r="H12" s="33" t="s">
        <v>16</v>
      </c>
      <c r="I12" s="33" t="s">
        <v>31</v>
      </c>
    </row>
    <row r="13" spans="1:11" ht="18" customHeight="1" x14ac:dyDescent="0.2">
      <c r="A13" s="3"/>
      <c r="B13" s="1"/>
      <c r="C13" s="1"/>
      <c r="D13" s="23"/>
      <c r="E13" s="1"/>
      <c r="F13" s="24"/>
      <c r="G13" s="1"/>
      <c r="H13" s="29" t="str">
        <f ca="1">IF(AND($E13&lt;&gt;"", $F13&lt;&gt;"", $G13 = "YES"), IF($H13 = "", TODAY(), $H13), "")</f>
        <v/>
      </c>
      <c r="I13" s="25">
        <f>IF($G13="YES", $F13, 0)</f>
        <v>0</v>
      </c>
    </row>
    <row r="14" spans="1:11" ht="18" customHeight="1" x14ac:dyDescent="0.2">
      <c r="A14" s="3"/>
      <c r="B14" s="1"/>
      <c r="C14" s="1"/>
      <c r="D14" s="23"/>
      <c r="E14" s="1"/>
      <c r="F14" s="24"/>
      <c r="G14" s="1"/>
      <c r="H14" s="29" t="str">
        <f ca="1">IF(AND($E14&lt;&gt;"", $F14&lt;&gt;"", $G14 = "YES"), IF($H14 = "", TODAY(), $H14), "")</f>
        <v/>
      </c>
      <c r="I14" s="25">
        <f>IF($G14="YES", $F14, 0)</f>
        <v>0</v>
      </c>
    </row>
    <row r="15" spans="1:11" ht="18" customHeight="1" x14ac:dyDescent="0.2">
      <c r="A15" s="3"/>
      <c r="B15" s="1"/>
      <c r="C15" s="1"/>
      <c r="D15" s="23"/>
      <c r="E15" s="1"/>
      <c r="F15" s="24"/>
      <c r="G15" s="1"/>
      <c r="H15" s="29" t="str">
        <f ca="1">IF(AND($E15&lt;&gt;"", $F15&lt;&gt;"", $G15 = "YES"), IF($H15 = "", TODAY(), $H15), "")</f>
        <v/>
      </c>
      <c r="I15" s="25">
        <f>IF($G15="YES", $F15, 0)</f>
        <v>0</v>
      </c>
    </row>
    <row r="16" spans="1:11" ht="18" customHeight="1" x14ac:dyDescent="0.2">
      <c r="A16" s="3"/>
      <c r="B16" s="34"/>
      <c r="C16" s="34"/>
      <c r="D16" s="34"/>
      <c r="E16" s="34"/>
      <c r="F16" s="35">
        <f>SUM(F13:F15)</f>
        <v>0</v>
      </c>
      <c r="G16" s="44" t="s">
        <v>12</v>
      </c>
      <c r="H16" s="44"/>
      <c r="I16" s="35">
        <f>SUM(I13:I15)</f>
        <v>0</v>
      </c>
    </row>
    <row r="17" spans="1:10" ht="18" customHeight="1" thickBot="1" x14ac:dyDescent="0.25">
      <c r="A17" s="3"/>
      <c r="B17" s="9"/>
      <c r="C17" s="9"/>
      <c r="D17" s="9"/>
      <c r="E17" s="9"/>
      <c r="F17" s="9"/>
      <c r="G17" s="8"/>
      <c r="H17" s="8"/>
      <c r="I17" s="8"/>
      <c r="J17" s="8"/>
    </row>
    <row r="18" spans="1:10" ht="18" customHeight="1" thickBot="1" x14ac:dyDescent="0.25">
      <c r="A18" s="3"/>
      <c r="B18" s="41" t="s">
        <v>27</v>
      </c>
      <c r="C18" s="42"/>
      <c r="D18" s="42"/>
      <c r="E18" s="42"/>
      <c r="F18" s="42"/>
      <c r="G18" s="42"/>
      <c r="H18" s="42"/>
      <c r="I18" s="43"/>
      <c r="J18" s="8"/>
    </row>
    <row r="19" spans="1:10" ht="18" customHeight="1" x14ac:dyDescent="0.2">
      <c r="A19" s="3"/>
      <c r="B19" s="33" t="s">
        <v>24</v>
      </c>
      <c r="C19" s="33" t="s">
        <v>25</v>
      </c>
      <c r="D19" s="33" t="s">
        <v>8</v>
      </c>
      <c r="E19" s="33" t="s">
        <v>17</v>
      </c>
      <c r="F19" s="33" t="s">
        <v>6</v>
      </c>
      <c r="G19" s="33" t="s">
        <v>11</v>
      </c>
      <c r="H19" s="33" t="s">
        <v>16</v>
      </c>
      <c r="I19" s="33" t="s">
        <v>31</v>
      </c>
      <c r="J19" s="8"/>
    </row>
    <row r="20" spans="1:10" ht="18" customHeight="1" x14ac:dyDescent="0.2">
      <c r="A20" s="3"/>
      <c r="B20" s="1"/>
      <c r="C20" s="1"/>
      <c r="D20" s="23"/>
      <c r="E20" s="1"/>
      <c r="F20" s="24"/>
      <c r="G20" s="1"/>
      <c r="H20" s="29" t="str">
        <f ca="1">IF(AND($E20&lt;&gt;"", $F20&lt;&gt;"", $G20 = "YES"), IF($H20 = "", TODAY(), $H20), "")</f>
        <v/>
      </c>
      <c r="I20" s="25">
        <f>IF($G20="YES", $F20, 0)</f>
        <v>0</v>
      </c>
      <c r="J20" s="8"/>
    </row>
    <row r="21" spans="1:10" ht="18" customHeight="1" x14ac:dyDescent="0.2">
      <c r="A21" s="3"/>
      <c r="B21" s="1"/>
      <c r="C21" s="1"/>
      <c r="D21" s="23"/>
      <c r="E21" s="1"/>
      <c r="F21" s="24"/>
      <c r="G21" s="1"/>
      <c r="H21" s="29" t="str">
        <f ca="1">IF(AND($E21&lt;&gt;"", $F21&lt;&gt;"", $G21 = "YES"), IF($H21 = "", TODAY(), $H21), "")</f>
        <v/>
      </c>
      <c r="I21" s="25">
        <f>IF($G21="YES", $F21, 0)</f>
        <v>0</v>
      </c>
      <c r="J21" s="8"/>
    </row>
    <row r="22" spans="1:10" ht="18" customHeight="1" x14ac:dyDescent="0.2">
      <c r="A22" s="3"/>
      <c r="B22" s="1"/>
      <c r="C22" s="1"/>
      <c r="D22" s="23"/>
      <c r="E22" s="1"/>
      <c r="F22" s="24"/>
      <c r="G22" s="1"/>
      <c r="H22" s="29" t="str">
        <f ca="1">IF(AND($E22&lt;&gt;"", $F22&lt;&gt;"", $G22 = "YES"), IF($H22 = "", TODAY(), $H22), "")</f>
        <v/>
      </c>
      <c r="I22" s="25">
        <f>IF($G22="YES", $F22, 0)</f>
        <v>0</v>
      </c>
      <c r="J22" s="8"/>
    </row>
    <row r="23" spans="1:10" ht="18" customHeight="1" x14ac:dyDescent="0.2">
      <c r="A23" s="3"/>
      <c r="B23" s="34"/>
      <c r="C23" s="34"/>
      <c r="D23" s="34"/>
      <c r="E23" s="34"/>
      <c r="F23" s="35">
        <f>SUM(F20:F22)</f>
        <v>0</v>
      </c>
      <c r="G23" s="44" t="s">
        <v>12</v>
      </c>
      <c r="H23" s="44"/>
      <c r="I23" s="35">
        <f>SUM(I20:I22)</f>
        <v>0</v>
      </c>
      <c r="J23" s="8"/>
    </row>
    <row r="24" spans="1:10" ht="18" customHeight="1" thickBot="1" x14ac:dyDescent="0.25">
      <c r="A24" s="3"/>
      <c r="B24" s="9"/>
      <c r="C24" s="9"/>
      <c r="D24" s="9"/>
      <c r="E24" s="9"/>
      <c r="F24" s="9"/>
      <c r="G24" s="8"/>
      <c r="H24" s="8"/>
      <c r="I24" s="8"/>
      <c r="J24" s="8"/>
    </row>
    <row r="25" spans="1:10" ht="18" customHeight="1" thickBot="1" x14ac:dyDescent="0.25">
      <c r="A25" s="3"/>
      <c r="B25" s="41" t="s">
        <v>28</v>
      </c>
      <c r="C25" s="42"/>
      <c r="D25" s="42"/>
      <c r="E25" s="42"/>
      <c r="F25" s="42"/>
      <c r="G25" s="42"/>
      <c r="H25" s="42"/>
      <c r="I25" s="43"/>
      <c r="J25" s="8"/>
    </row>
    <row r="26" spans="1:10" ht="18" customHeight="1" x14ac:dyDescent="0.2">
      <c r="A26" s="3"/>
      <c r="B26" s="33" t="s">
        <v>24</v>
      </c>
      <c r="C26" s="33" t="s">
        <v>25</v>
      </c>
      <c r="D26" s="33" t="s">
        <v>8</v>
      </c>
      <c r="E26" s="33" t="s">
        <v>17</v>
      </c>
      <c r="F26" s="33" t="s">
        <v>6</v>
      </c>
      <c r="G26" s="33" t="s">
        <v>11</v>
      </c>
      <c r="H26" s="33" t="s">
        <v>16</v>
      </c>
      <c r="I26" s="33" t="s">
        <v>31</v>
      </c>
      <c r="J26" s="8"/>
    </row>
    <row r="27" spans="1:10" ht="18" customHeight="1" x14ac:dyDescent="0.2">
      <c r="A27" s="3"/>
      <c r="B27" s="1"/>
      <c r="C27" s="1"/>
      <c r="D27" s="23"/>
      <c r="E27" s="1"/>
      <c r="F27" s="24"/>
      <c r="G27" s="1"/>
      <c r="H27" s="29" t="str">
        <f ca="1">IF(AND($E27&lt;&gt;"", $F27&lt;&gt;"", $G27 = "YES"), IF($H27 = "", TODAY(), $H27), "")</f>
        <v/>
      </c>
      <c r="I27" s="25">
        <f>IF($G27="YES", $F27, 0)</f>
        <v>0</v>
      </c>
      <c r="J27" s="8"/>
    </row>
    <row r="28" spans="1:10" ht="18" customHeight="1" x14ac:dyDescent="0.2">
      <c r="A28" s="3"/>
      <c r="B28" s="1"/>
      <c r="C28" s="1"/>
      <c r="D28" s="23"/>
      <c r="E28" s="1"/>
      <c r="F28" s="24"/>
      <c r="G28" s="1"/>
      <c r="H28" s="29" t="str">
        <f ca="1">IF(AND($E28&lt;&gt;"", $F28&lt;&gt;"", $G28 = "YES"), IF($H28 = "", TODAY(), $H28), "")</f>
        <v/>
      </c>
      <c r="I28" s="25">
        <f>IF($G28="YES", $F28, 0)</f>
        <v>0</v>
      </c>
      <c r="J28" s="8"/>
    </row>
    <row r="29" spans="1:10" ht="18" customHeight="1" x14ac:dyDescent="0.2">
      <c r="A29" s="3"/>
      <c r="B29" s="1"/>
      <c r="C29" s="1"/>
      <c r="D29" s="23"/>
      <c r="E29" s="1"/>
      <c r="F29" s="24"/>
      <c r="G29" s="1"/>
      <c r="H29" s="29" t="str">
        <f ca="1">IF(AND($E29&lt;&gt;"", $F29&lt;&gt;"", $G29 = "YES"), IF($H29 = "", TODAY(), $H29), "")</f>
        <v/>
      </c>
      <c r="I29" s="25">
        <f>IF($G29="YES", $F29, 0)</f>
        <v>0</v>
      </c>
      <c r="J29" s="8"/>
    </row>
    <row r="30" spans="1:10" ht="18" customHeight="1" x14ac:dyDescent="0.2">
      <c r="A30" s="3"/>
      <c r="B30" s="34"/>
      <c r="C30" s="34"/>
      <c r="D30" s="34"/>
      <c r="E30" s="34"/>
      <c r="F30" s="35">
        <f>SUM(F27:F29)</f>
        <v>0</v>
      </c>
      <c r="G30" s="44" t="s">
        <v>12</v>
      </c>
      <c r="H30" s="44"/>
      <c r="I30" s="35">
        <f>SUM(I27:I29)</f>
        <v>0</v>
      </c>
      <c r="J30" s="8"/>
    </row>
    <row r="31" spans="1:10" ht="18" customHeight="1" thickBot="1" x14ac:dyDescent="0.25">
      <c r="A31" s="3"/>
      <c r="B31" s="9"/>
      <c r="C31" s="9"/>
      <c r="D31" s="9"/>
      <c r="E31" s="9"/>
      <c r="F31" s="9"/>
      <c r="G31" s="8"/>
      <c r="H31" s="8"/>
      <c r="I31" s="8"/>
      <c r="J31" s="8"/>
    </row>
    <row r="32" spans="1:10" ht="18" customHeight="1" thickBot="1" x14ac:dyDescent="0.25">
      <c r="A32" s="3"/>
      <c r="B32" s="41" t="s">
        <v>29</v>
      </c>
      <c r="C32" s="42"/>
      <c r="D32" s="42"/>
      <c r="E32" s="42"/>
      <c r="F32" s="42"/>
      <c r="G32" s="42"/>
      <c r="H32" s="42"/>
      <c r="I32" s="43"/>
      <c r="J32" s="8"/>
    </row>
    <row r="33" spans="1:11" ht="18" customHeight="1" x14ac:dyDescent="0.2">
      <c r="A33" s="3"/>
      <c r="B33" s="33" t="s">
        <v>24</v>
      </c>
      <c r="C33" s="33" t="s">
        <v>25</v>
      </c>
      <c r="D33" s="33" t="s">
        <v>8</v>
      </c>
      <c r="E33" s="33" t="s">
        <v>17</v>
      </c>
      <c r="F33" s="33" t="s">
        <v>6</v>
      </c>
      <c r="G33" s="33" t="s">
        <v>11</v>
      </c>
      <c r="H33" s="33" t="s">
        <v>16</v>
      </c>
      <c r="I33" s="33" t="s">
        <v>31</v>
      </c>
      <c r="J33" s="8"/>
    </row>
    <row r="34" spans="1:11" ht="18" customHeight="1" x14ac:dyDescent="0.2">
      <c r="A34" s="3"/>
      <c r="B34" s="1"/>
      <c r="C34" s="1"/>
      <c r="D34" s="23"/>
      <c r="E34" s="1"/>
      <c r="F34" s="24"/>
      <c r="G34" s="1"/>
      <c r="H34" s="29" t="str">
        <f ca="1">IF(AND($E34&lt;&gt;"", $F34&lt;&gt;"", $G34 = "YES"), IF($H34 = "", TODAY(), $H34), "")</f>
        <v/>
      </c>
      <c r="I34" s="25">
        <f>IF($G34="YES", $F34, 0)</f>
        <v>0</v>
      </c>
      <c r="J34" s="8"/>
    </row>
    <row r="35" spans="1:11" ht="18" customHeight="1" x14ac:dyDescent="0.2">
      <c r="A35" s="3"/>
      <c r="B35" s="1"/>
      <c r="C35" s="1"/>
      <c r="D35" s="23"/>
      <c r="E35" s="1"/>
      <c r="F35" s="24"/>
      <c r="G35" s="1"/>
      <c r="H35" s="29" t="str">
        <f ca="1">IF(AND($E35&lt;&gt;"", $F35&lt;&gt;"", $G35 = "YES"), IF($H35 = "", TODAY(), $H35), "")</f>
        <v/>
      </c>
      <c r="I35" s="25">
        <f>IF($G35="YES", $F35, 0)</f>
        <v>0</v>
      </c>
      <c r="J35" s="8"/>
    </row>
    <row r="36" spans="1:11" ht="18" customHeight="1" x14ac:dyDescent="0.2">
      <c r="A36" s="3"/>
      <c r="B36" s="1"/>
      <c r="C36" s="1"/>
      <c r="D36" s="23"/>
      <c r="E36" s="1"/>
      <c r="F36" s="24"/>
      <c r="G36" s="1"/>
      <c r="H36" s="29" t="str">
        <f ca="1">IF(AND($E36&lt;&gt;"", $F36&lt;&gt;"", $G36 = "YES"), IF($H36 = "", TODAY(), $H36), "")</f>
        <v/>
      </c>
      <c r="I36" s="25">
        <f>IF($G36="YES", $F36, 0)</f>
        <v>0</v>
      </c>
      <c r="J36" s="8"/>
    </row>
    <row r="37" spans="1:11" ht="18" customHeight="1" x14ac:dyDescent="0.2">
      <c r="A37" s="3"/>
      <c r="B37" s="34"/>
      <c r="C37" s="34"/>
      <c r="D37" s="34"/>
      <c r="E37" s="34"/>
      <c r="F37" s="35">
        <f>SUM(F34:F36)</f>
        <v>0</v>
      </c>
      <c r="G37" s="44" t="s">
        <v>12</v>
      </c>
      <c r="H37" s="44"/>
      <c r="I37" s="35">
        <f>SUM(I34:I36)</f>
        <v>0</v>
      </c>
      <c r="J37" s="8"/>
    </row>
    <row r="38" spans="1:11" ht="18" customHeight="1" thickBot="1" x14ac:dyDescent="0.25">
      <c r="A38" s="3"/>
      <c r="B38" s="9"/>
      <c r="C38" s="9"/>
      <c r="D38" s="9"/>
      <c r="E38" s="9"/>
      <c r="F38" s="9"/>
      <c r="G38" s="8"/>
      <c r="H38" s="8"/>
      <c r="I38" s="8"/>
      <c r="J38" s="8"/>
    </row>
    <row r="39" spans="1:11" ht="18" customHeight="1" thickBot="1" x14ac:dyDescent="0.25">
      <c r="A39" s="3"/>
      <c r="B39" s="41" t="s">
        <v>30</v>
      </c>
      <c r="C39" s="42"/>
      <c r="D39" s="42"/>
      <c r="E39" s="42"/>
      <c r="F39" s="42"/>
      <c r="G39" s="42"/>
      <c r="H39" s="42"/>
      <c r="I39" s="43"/>
      <c r="J39" s="8"/>
    </row>
    <row r="40" spans="1:11" ht="18" customHeight="1" x14ac:dyDescent="0.2">
      <c r="A40" s="3"/>
      <c r="B40" s="33" t="s">
        <v>24</v>
      </c>
      <c r="C40" s="33" t="s">
        <v>25</v>
      </c>
      <c r="D40" s="33" t="s">
        <v>8</v>
      </c>
      <c r="E40" s="33" t="s">
        <v>17</v>
      </c>
      <c r="F40" s="33" t="s">
        <v>6</v>
      </c>
      <c r="G40" s="33" t="s">
        <v>11</v>
      </c>
      <c r="H40" s="33" t="s">
        <v>16</v>
      </c>
      <c r="I40" s="33" t="s">
        <v>31</v>
      </c>
      <c r="J40" s="8"/>
    </row>
    <row r="41" spans="1:11" ht="18" customHeight="1" x14ac:dyDescent="0.2">
      <c r="A41" s="3"/>
      <c r="B41" s="1"/>
      <c r="C41" s="1"/>
      <c r="D41" s="23"/>
      <c r="E41" s="1"/>
      <c r="F41" s="24"/>
      <c r="G41" s="1"/>
      <c r="H41" s="29" t="str">
        <f ca="1">IF(AND($E41&lt;&gt;"", $F41&lt;&gt;"", $G41 = "YES"), IF($H41 = "", TODAY(), $H41), "")</f>
        <v/>
      </c>
      <c r="I41" s="25">
        <f>IF($G41="YES", $F41, 0)</f>
        <v>0</v>
      </c>
      <c r="J41" s="8"/>
    </row>
    <row r="42" spans="1:11" ht="18" customHeight="1" x14ac:dyDescent="0.2">
      <c r="A42" s="3"/>
      <c r="B42" s="1"/>
      <c r="C42" s="1"/>
      <c r="D42" s="23"/>
      <c r="E42" s="1"/>
      <c r="F42" s="24"/>
      <c r="G42" s="1"/>
      <c r="H42" s="29" t="str">
        <f ca="1">IF(AND($E42&lt;&gt;"", $F42&lt;&gt;"", $G42 = "YES"), IF($H42 = "", TODAY(), $H42), "")</f>
        <v/>
      </c>
      <c r="I42" s="25">
        <f>IF($G42="YES", $F42, 0)</f>
        <v>0</v>
      </c>
      <c r="J42" s="8"/>
    </row>
    <row r="43" spans="1:11" ht="18" customHeight="1" x14ac:dyDescent="0.2">
      <c r="A43" s="3"/>
      <c r="B43" s="1"/>
      <c r="C43" s="1"/>
      <c r="D43" s="23"/>
      <c r="E43" s="1"/>
      <c r="F43" s="24"/>
      <c r="G43" s="1"/>
      <c r="H43" s="29" t="str">
        <f ca="1">IF(AND($E43&lt;&gt;"", $F43&lt;&gt;"", $G43 = "YES"), IF($H43 = "", TODAY(), $H43), "")</f>
        <v/>
      </c>
      <c r="I43" s="25">
        <f>IF($G43="YES", $F43, 0)</f>
        <v>0</v>
      </c>
      <c r="J43" s="8"/>
    </row>
    <row r="44" spans="1:11" ht="18" customHeight="1" x14ac:dyDescent="0.2">
      <c r="A44" s="3"/>
      <c r="B44" s="34"/>
      <c r="C44" s="34"/>
      <c r="D44" s="34"/>
      <c r="E44" s="34"/>
      <c r="F44" s="35">
        <f>SUM(F41:F43)</f>
        <v>0</v>
      </c>
      <c r="G44" s="44" t="s">
        <v>12</v>
      </c>
      <c r="H44" s="44"/>
      <c r="I44" s="35">
        <f>SUM(I41:I43)</f>
        <v>0</v>
      </c>
      <c r="J44" s="8"/>
    </row>
    <row r="45" spans="1:11" ht="18" customHeight="1" thickBot="1" x14ac:dyDescent="0.25">
      <c r="A45" s="3"/>
      <c r="B45" s="9"/>
      <c r="C45" s="9"/>
      <c r="D45" s="9"/>
      <c r="E45" s="9"/>
      <c r="F45" s="9"/>
      <c r="G45" s="8"/>
      <c r="H45" s="8"/>
      <c r="I45" s="8"/>
      <c r="J45" s="8"/>
    </row>
    <row r="46" spans="1:11" ht="18" customHeight="1" thickBot="1" x14ac:dyDescent="0.25">
      <c r="B46" s="14" t="s">
        <v>9</v>
      </c>
      <c r="C46" s="26"/>
      <c r="D46" s="9"/>
    </row>
    <row r="47" spans="1:11" ht="18" customHeight="1" thickBot="1" x14ac:dyDescent="0.25">
      <c r="B47" s="15" t="s">
        <v>10</v>
      </c>
      <c r="C47" s="27"/>
      <c r="D47" s="31"/>
    </row>
    <row r="48" spans="1:11" ht="18" customHeight="1" thickBot="1" x14ac:dyDescent="0.25">
      <c r="D48" s="31"/>
      <c r="G48" s="41" t="s">
        <v>13</v>
      </c>
      <c r="H48" s="42"/>
      <c r="I48" s="42"/>
      <c r="J48" s="42"/>
      <c r="K48" s="43"/>
    </row>
    <row r="49" spans="7:11" ht="18" customHeight="1" x14ac:dyDescent="0.2">
      <c r="G49" s="33" t="s">
        <v>16</v>
      </c>
      <c r="H49" s="33" t="s">
        <v>14</v>
      </c>
      <c r="I49" s="33" t="s">
        <v>31</v>
      </c>
      <c r="J49" s="33" t="s">
        <v>18</v>
      </c>
      <c r="K49" s="33" t="s">
        <v>15</v>
      </c>
    </row>
    <row r="50" spans="7:11" ht="18" customHeight="1" x14ac:dyDescent="0.2">
      <c r="G50" s="29">
        <f>StartDate</f>
        <v>0</v>
      </c>
      <c r="H50" s="28">
        <v>0</v>
      </c>
      <c r="I50" s="7">
        <f ca="1">SUMIF(DateUS01, $G50, BPtsUS01) + SUMIF(DateUS02, $G50, BPtsUS02) + SUMIF(DateUS03, $G50, BPtsUS03) + SUMIF(DateUS04, $G50, BPtsUS04) + SUMIF(DateUS05, $G50, BPtsUS05)</f>
        <v>0</v>
      </c>
      <c r="J50" s="1">
        <f ca="1">IF(G50 &lt;= TODAY(), TotalPts-I50, "")</f>
        <v>0</v>
      </c>
      <c r="K50" s="32" t="e">
        <f t="shared" ref="K50:K81" si="0">$E$9-(H50*($E$9/(LOOKUP(ReviewDate, Date, Day))))</f>
        <v>#DIV/0!</v>
      </c>
    </row>
    <row r="51" spans="7:11" ht="18" customHeight="1" x14ac:dyDescent="0.2">
      <c r="G51" s="29" t="e">
        <f t="shared" ref="G51:G82" si="1">IF($G$50+$H51 &gt; ReviewDate, NA(), $G$50+$H51)</f>
        <v>#N/A</v>
      </c>
      <c r="H51" s="28">
        <v>1</v>
      </c>
      <c r="I51" s="7" t="e">
        <f t="shared" ref="I51:I82" ca="1" si="2">SUMIF(DateUS01, $G51, BPtsUS01) + SUMIF(DateUS02, $G51, BPtsUS02) + SUMIF(DateUS03, $G51, BPtsUS03) + SUMIF(DateUS04, $G51, BPtsUS04) + SUMIF(DateUS05, $G51, BPtsUS05) + SUMIF(DateUS06, $G51, BPtsUS06) + SUMIF(DateUS07, $G51, BPtsUS07) + SUMIF(DateUS08, $G51, BPtsUS08)</f>
        <v>#REF!</v>
      </c>
      <c r="J51" s="1" t="e">
        <f ca="1">IF($G51 &lt;= TODAY(), $J50-$I51, NA())</f>
        <v>#N/A</v>
      </c>
      <c r="K51" s="32" t="e">
        <f t="shared" si="0"/>
        <v>#DIV/0!</v>
      </c>
    </row>
    <row r="52" spans="7:11" ht="18" customHeight="1" x14ac:dyDescent="0.2">
      <c r="G52" s="29" t="e">
        <f t="shared" si="1"/>
        <v>#N/A</v>
      </c>
      <c r="H52" s="28">
        <v>2</v>
      </c>
      <c r="I52" s="7" t="e">
        <f t="shared" ca="1" si="2"/>
        <v>#REF!</v>
      </c>
      <c r="J52" s="1" t="e">
        <f t="shared" ref="J52:J115" ca="1" si="3">IF($G52 &lt;= TODAY(), $J51-$I52, NA())</f>
        <v>#N/A</v>
      </c>
      <c r="K52" s="32" t="e">
        <f t="shared" si="0"/>
        <v>#DIV/0!</v>
      </c>
    </row>
    <row r="53" spans="7:11" ht="18" customHeight="1" x14ac:dyDescent="0.2">
      <c r="G53" s="29" t="e">
        <f t="shared" si="1"/>
        <v>#N/A</v>
      </c>
      <c r="H53" s="28">
        <v>3</v>
      </c>
      <c r="I53" s="7" t="e">
        <f t="shared" ca="1" si="2"/>
        <v>#REF!</v>
      </c>
      <c r="J53" s="1" t="e">
        <f t="shared" ca="1" si="3"/>
        <v>#N/A</v>
      </c>
      <c r="K53" s="32" t="e">
        <f t="shared" si="0"/>
        <v>#DIV/0!</v>
      </c>
    </row>
    <row r="54" spans="7:11" ht="18" customHeight="1" x14ac:dyDescent="0.2">
      <c r="G54" s="29" t="e">
        <f t="shared" si="1"/>
        <v>#N/A</v>
      </c>
      <c r="H54" s="28">
        <v>4</v>
      </c>
      <c r="I54" s="7" t="e">
        <f t="shared" ca="1" si="2"/>
        <v>#REF!</v>
      </c>
      <c r="J54" s="1" t="e">
        <f t="shared" ca="1" si="3"/>
        <v>#N/A</v>
      </c>
      <c r="K54" s="32" t="e">
        <f t="shared" si="0"/>
        <v>#DIV/0!</v>
      </c>
    </row>
    <row r="55" spans="7:11" ht="18" customHeight="1" x14ac:dyDescent="0.2">
      <c r="G55" s="29" t="e">
        <f t="shared" si="1"/>
        <v>#N/A</v>
      </c>
      <c r="H55" s="28">
        <v>5</v>
      </c>
      <c r="I55" s="7" t="e">
        <f t="shared" ca="1" si="2"/>
        <v>#REF!</v>
      </c>
      <c r="J55" s="1" t="e">
        <f t="shared" ca="1" si="3"/>
        <v>#N/A</v>
      </c>
      <c r="K55" s="32" t="e">
        <f t="shared" si="0"/>
        <v>#DIV/0!</v>
      </c>
    </row>
    <row r="56" spans="7:11" ht="18" customHeight="1" x14ac:dyDescent="0.2">
      <c r="G56" s="29" t="e">
        <f t="shared" si="1"/>
        <v>#N/A</v>
      </c>
      <c r="H56" s="28">
        <v>6</v>
      </c>
      <c r="I56" s="7" t="e">
        <f t="shared" ca="1" si="2"/>
        <v>#REF!</v>
      </c>
      <c r="J56" s="1" t="e">
        <f t="shared" ca="1" si="3"/>
        <v>#N/A</v>
      </c>
      <c r="K56" s="32" t="e">
        <f t="shared" si="0"/>
        <v>#DIV/0!</v>
      </c>
    </row>
    <row r="57" spans="7:11" ht="18" customHeight="1" x14ac:dyDescent="0.2">
      <c r="G57" s="29" t="e">
        <f t="shared" si="1"/>
        <v>#N/A</v>
      </c>
      <c r="H57" s="28">
        <v>7</v>
      </c>
      <c r="I57" s="7" t="e">
        <f t="shared" ca="1" si="2"/>
        <v>#REF!</v>
      </c>
      <c r="J57" s="1" t="e">
        <f t="shared" ca="1" si="3"/>
        <v>#N/A</v>
      </c>
      <c r="K57" s="32" t="e">
        <f t="shared" si="0"/>
        <v>#DIV/0!</v>
      </c>
    </row>
    <row r="58" spans="7:11" ht="18" customHeight="1" x14ac:dyDescent="0.2">
      <c r="G58" s="29" t="e">
        <f t="shared" si="1"/>
        <v>#N/A</v>
      </c>
      <c r="H58" s="28">
        <v>8</v>
      </c>
      <c r="I58" s="7" t="e">
        <f t="shared" ca="1" si="2"/>
        <v>#REF!</v>
      </c>
      <c r="J58" s="1" t="e">
        <f t="shared" ca="1" si="3"/>
        <v>#N/A</v>
      </c>
      <c r="K58" s="32" t="e">
        <f t="shared" si="0"/>
        <v>#DIV/0!</v>
      </c>
    </row>
    <row r="59" spans="7:11" ht="18" customHeight="1" x14ac:dyDescent="0.2">
      <c r="G59" s="29" t="e">
        <f t="shared" si="1"/>
        <v>#N/A</v>
      </c>
      <c r="H59" s="28">
        <v>9</v>
      </c>
      <c r="I59" s="7" t="e">
        <f t="shared" ca="1" si="2"/>
        <v>#REF!</v>
      </c>
      <c r="J59" s="1" t="e">
        <f t="shared" ca="1" si="3"/>
        <v>#N/A</v>
      </c>
      <c r="K59" s="32" t="e">
        <f t="shared" si="0"/>
        <v>#DIV/0!</v>
      </c>
    </row>
    <row r="60" spans="7:11" ht="18" customHeight="1" x14ac:dyDescent="0.2">
      <c r="G60" s="29" t="e">
        <f t="shared" si="1"/>
        <v>#N/A</v>
      </c>
      <c r="H60" s="28">
        <v>10</v>
      </c>
      <c r="I60" s="7" t="e">
        <f t="shared" ca="1" si="2"/>
        <v>#REF!</v>
      </c>
      <c r="J60" s="1" t="e">
        <f t="shared" ca="1" si="3"/>
        <v>#N/A</v>
      </c>
      <c r="K60" s="32" t="e">
        <f t="shared" si="0"/>
        <v>#DIV/0!</v>
      </c>
    </row>
    <row r="61" spans="7:11" ht="18" customHeight="1" x14ac:dyDescent="0.2">
      <c r="G61" s="29" t="e">
        <f t="shared" si="1"/>
        <v>#N/A</v>
      </c>
      <c r="H61" s="28">
        <v>11</v>
      </c>
      <c r="I61" s="7" t="e">
        <f t="shared" ca="1" si="2"/>
        <v>#REF!</v>
      </c>
      <c r="J61" s="1" t="e">
        <f t="shared" ca="1" si="3"/>
        <v>#N/A</v>
      </c>
      <c r="K61" s="32" t="e">
        <f t="shared" si="0"/>
        <v>#DIV/0!</v>
      </c>
    </row>
    <row r="62" spans="7:11" ht="18" customHeight="1" x14ac:dyDescent="0.2">
      <c r="G62" s="29" t="e">
        <f t="shared" si="1"/>
        <v>#N/A</v>
      </c>
      <c r="H62" s="28">
        <v>12</v>
      </c>
      <c r="I62" s="7" t="e">
        <f t="shared" ca="1" si="2"/>
        <v>#REF!</v>
      </c>
      <c r="J62" s="1" t="e">
        <f t="shared" ca="1" si="3"/>
        <v>#N/A</v>
      </c>
      <c r="K62" s="32" t="e">
        <f t="shared" si="0"/>
        <v>#DIV/0!</v>
      </c>
    </row>
    <row r="63" spans="7:11" ht="18" customHeight="1" x14ac:dyDescent="0.2">
      <c r="G63" s="29" t="e">
        <f t="shared" si="1"/>
        <v>#N/A</v>
      </c>
      <c r="H63" s="28">
        <v>13</v>
      </c>
      <c r="I63" s="7" t="e">
        <f t="shared" ca="1" si="2"/>
        <v>#REF!</v>
      </c>
      <c r="J63" s="1" t="e">
        <f t="shared" ca="1" si="3"/>
        <v>#N/A</v>
      </c>
      <c r="K63" s="32" t="e">
        <f t="shared" si="0"/>
        <v>#DIV/0!</v>
      </c>
    </row>
    <row r="64" spans="7:11" ht="18" customHeight="1" x14ac:dyDescent="0.2">
      <c r="G64" s="29" t="e">
        <f t="shared" si="1"/>
        <v>#N/A</v>
      </c>
      <c r="H64" s="28">
        <v>14</v>
      </c>
      <c r="I64" s="7" t="e">
        <f t="shared" ca="1" si="2"/>
        <v>#REF!</v>
      </c>
      <c r="J64" s="1" t="e">
        <f t="shared" ca="1" si="3"/>
        <v>#N/A</v>
      </c>
      <c r="K64" s="32" t="e">
        <f t="shared" si="0"/>
        <v>#DIV/0!</v>
      </c>
    </row>
    <row r="65" spans="7:11" ht="18" customHeight="1" x14ac:dyDescent="0.2">
      <c r="G65" s="29" t="e">
        <f t="shared" si="1"/>
        <v>#N/A</v>
      </c>
      <c r="H65" s="28">
        <v>15</v>
      </c>
      <c r="I65" s="7" t="e">
        <f t="shared" ca="1" si="2"/>
        <v>#REF!</v>
      </c>
      <c r="J65" s="1" t="e">
        <f t="shared" ca="1" si="3"/>
        <v>#N/A</v>
      </c>
      <c r="K65" s="32" t="e">
        <f t="shared" si="0"/>
        <v>#DIV/0!</v>
      </c>
    </row>
    <row r="66" spans="7:11" ht="18" customHeight="1" x14ac:dyDescent="0.2">
      <c r="G66" s="29" t="e">
        <f t="shared" si="1"/>
        <v>#N/A</v>
      </c>
      <c r="H66" s="28">
        <v>16</v>
      </c>
      <c r="I66" s="7" t="e">
        <f t="shared" ca="1" si="2"/>
        <v>#REF!</v>
      </c>
      <c r="J66" s="1" t="e">
        <f t="shared" ca="1" si="3"/>
        <v>#N/A</v>
      </c>
      <c r="K66" s="32" t="e">
        <f t="shared" si="0"/>
        <v>#DIV/0!</v>
      </c>
    </row>
    <row r="67" spans="7:11" ht="18" customHeight="1" x14ac:dyDescent="0.2">
      <c r="G67" s="29" t="e">
        <f t="shared" si="1"/>
        <v>#N/A</v>
      </c>
      <c r="H67" s="28">
        <v>17</v>
      </c>
      <c r="I67" s="7" t="e">
        <f t="shared" ca="1" si="2"/>
        <v>#REF!</v>
      </c>
      <c r="J67" s="1" t="e">
        <f t="shared" ca="1" si="3"/>
        <v>#N/A</v>
      </c>
      <c r="K67" s="32" t="e">
        <f t="shared" si="0"/>
        <v>#DIV/0!</v>
      </c>
    </row>
    <row r="68" spans="7:11" ht="18" customHeight="1" x14ac:dyDescent="0.2">
      <c r="G68" s="29" t="e">
        <f t="shared" si="1"/>
        <v>#N/A</v>
      </c>
      <c r="H68" s="28">
        <v>18</v>
      </c>
      <c r="I68" s="7" t="e">
        <f t="shared" ca="1" si="2"/>
        <v>#REF!</v>
      </c>
      <c r="J68" s="1" t="e">
        <f t="shared" ca="1" si="3"/>
        <v>#N/A</v>
      </c>
      <c r="K68" s="32" t="e">
        <f t="shared" si="0"/>
        <v>#DIV/0!</v>
      </c>
    </row>
    <row r="69" spans="7:11" ht="18" customHeight="1" x14ac:dyDescent="0.2">
      <c r="G69" s="29" t="e">
        <f t="shared" si="1"/>
        <v>#N/A</v>
      </c>
      <c r="H69" s="28">
        <v>19</v>
      </c>
      <c r="I69" s="7" t="e">
        <f t="shared" ca="1" si="2"/>
        <v>#REF!</v>
      </c>
      <c r="J69" s="1" t="e">
        <f t="shared" ca="1" si="3"/>
        <v>#N/A</v>
      </c>
      <c r="K69" s="32" t="e">
        <f t="shared" si="0"/>
        <v>#DIV/0!</v>
      </c>
    </row>
    <row r="70" spans="7:11" ht="18" customHeight="1" x14ac:dyDescent="0.2">
      <c r="G70" s="29" t="e">
        <f t="shared" si="1"/>
        <v>#N/A</v>
      </c>
      <c r="H70" s="28">
        <v>20</v>
      </c>
      <c r="I70" s="7" t="e">
        <f t="shared" ca="1" si="2"/>
        <v>#REF!</v>
      </c>
      <c r="J70" s="1" t="e">
        <f t="shared" ca="1" si="3"/>
        <v>#N/A</v>
      </c>
      <c r="K70" s="32" t="e">
        <f t="shared" si="0"/>
        <v>#DIV/0!</v>
      </c>
    </row>
    <row r="71" spans="7:11" ht="18" customHeight="1" x14ac:dyDescent="0.2">
      <c r="G71" s="29" t="e">
        <f t="shared" si="1"/>
        <v>#N/A</v>
      </c>
      <c r="H71" s="28">
        <v>21</v>
      </c>
      <c r="I71" s="7" t="e">
        <f t="shared" ca="1" si="2"/>
        <v>#REF!</v>
      </c>
      <c r="J71" s="1" t="e">
        <f t="shared" ca="1" si="3"/>
        <v>#N/A</v>
      </c>
      <c r="K71" s="32" t="e">
        <f t="shared" si="0"/>
        <v>#DIV/0!</v>
      </c>
    </row>
    <row r="72" spans="7:11" ht="18" customHeight="1" x14ac:dyDescent="0.2">
      <c r="G72" s="29" t="e">
        <f t="shared" si="1"/>
        <v>#N/A</v>
      </c>
      <c r="H72" s="28">
        <v>22</v>
      </c>
      <c r="I72" s="7" t="e">
        <f t="shared" ca="1" si="2"/>
        <v>#REF!</v>
      </c>
      <c r="J72" s="1" t="e">
        <f t="shared" ca="1" si="3"/>
        <v>#N/A</v>
      </c>
      <c r="K72" s="32" t="e">
        <f t="shared" si="0"/>
        <v>#DIV/0!</v>
      </c>
    </row>
    <row r="73" spans="7:11" ht="18" customHeight="1" x14ac:dyDescent="0.2">
      <c r="G73" s="29" t="e">
        <f t="shared" si="1"/>
        <v>#N/A</v>
      </c>
      <c r="H73" s="28">
        <v>23</v>
      </c>
      <c r="I73" s="7" t="e">
        <f t="shared" ca="1" si="2"/>
        <v>#REF!</v>
      </c>
      <c r="J73" s="1" t="e">
        <f t="shared" ca="1" si="3"/>
        <v>#N/A</v>
      </c>
      <c r="K73" s="32" t="e">
        <f t="shared" si="0"/>
        <v>#DIV/0!</v>
      </c>
    </row>
    <row r="74" spans="7:11" ht="18" customHeight="1" x14ac:dyDescent="0.2">
      <c r="G74" s="29" t="e">
        <f t="shared" si="1"/>
        <v>#N/A</v>
      </c>
      <c r="H74" s="28">
        <v>24</v>
      </c>
      <c r="I74" s="7" t="e">
        <f t="shared" ca="1" si="2"/>
        <v>#REF!</v>
      </c>
      <c r="J74" s="1" t="e">
        <f t="shared" ca="1" si="3"/>
        <v>#N/A</v>
      </c>
      <c r="K74" s="32" t="e">
        <f t="shared" si="0"/>
        <v>#DIV/0!</v>
      </c>
    </row>
    <row r="75" spans="7:11" ht="18" customHeight="1" x14ac:dyDescent="0.2">
      <c r="G75" s="29" t="e">
        <f t="shared" si="1"/>
        <v>#N/A</v>
      </c>
      <c r="H75" s="28">
        <v>25</v>
      </c>
      <c r="I75" s="7" t="e">
        <f t="shared" ca="1" si="2"/>
        <v>#REF!</v>
      </c>
      <c r="J75" s="1" t="e">
        <f t="shared" ca="1" si="3"/>
        <v>#N/A</v>
      </c>
      <c r="K75" s="32" t="e">
        <f t="shared" si="0"/>
        <v>#DIV/0!</v>
      </c>
    </row>
    <row r="76" spans="7:11" ht="18" customHeight="1" x14ac:dyDescent="0.2">
      <c r="G76" s="29" t="e">
        <f t="shared" si="1"/>
        <v>#N/A</v>
      </c>
      <c r="H76" s="28">
        <v>26</v>
      </c>
      <c r="I76" s="7" t="e">
        <f t="shared" ca="1" si="2"/>
        <v>#REF!</v>
      </c>
      <c r="J76" s="1" t="e">
        <f t="shared" ca="1" si="3"/>
        <v>#N/A</v>
      </c>
      <c r="K76" s="32" t="e">
        <f t="shared" si="0"/>
        <v>#DIV/0!</v>
      </c>
    </row>
    <row r="77" spans="7:11" ht="18" customHeight="1" x14ac:dyDescent="0.2">
      <c r="G77" s="29" t="e">
        <f t="shared" si="1"/>
        <v>#N/A</v>
      </c>
      <c r="H77" s="28">
        <v>27</v>
      </c>
      <c r="I77" s="7" t="e">
        <f t="shared" ca="1" si="2"/>
        <v>#REF!</v>
      </c>
      <c r="J77" s="1" t="e">
        <f t="shared" ca="1" si="3"/>
        <v>#N/A</v>
      </c>
      <c r="K77" s="32" t="e">
        <f t="shared" si="0"/>
        <v>#DIV/0!</v>
      </c>
    </row>
    <row r="78" spans="7:11" ht="18" customHeight="1" x14ac:dyDescent="0.2">
      <c r="G78" s="29" t="e">
        <f t="shared" si="1"/>
        <v>#N/A</v>
      </c>
      <c r="H78" s="28">
        <v>28</v>
      </c>
      <c r="I78" s="7" t="e">
        <f t="shared" ca="1" si="2"/>
        <v>#REF!</v>
      </c>
      <c r="J78" s="1" t="e">
        <f t="shared" ca="1" si="3"/>
        <v>#N/A</v>
      </c>
      <c r="K78" s="32" t="e">
        <f t="shared" si="0"/>
        <v>#DIV/0!</v>
      </c>
    </row>
    <row r="79" spans="7:11" ht="18" customHeight="1" x14ac:dyDescent="0.2">
      <c r="G79" s="29" t="e">
        <f t="shared" si="1"/>
        <v>#N/A</v>
      </c>
      <c r="H79" s="28">
        <v>29</v>
      </c>
      <c r="I79" s="7" t="e">
        <f t="shared" ca="1" si="2"/>
        <v>#REF!</v>
      </c>
      <c r="J79" s="1" t="e">
        <f t="shared" ca="1" si="3"/>
        <v>#N/A</v>
      </c>
      <c r="K79" s="32" t="e">
        <f t="shared" si="0"/>
        <v>#DIV/0!</v>
      </c>
    </row>
    <row r="80" spans="7:11" ht="18" customHeight="1" x14ac:dyDescent="0.2">
      <c r="G80" s="29" t="e">
        <f t="shared" si="1"/>
        <v>#N/A</v>
      </c>
      <c r="H80" s="28">
        <v>30</v>
      </c>
      <c r="I80" s="7" t="e">
        <f t="shared" ca="1" si="2"/>
        <v>#REF!</v>
      </c>
      <c r="J80" s="1" t="e">
        <f t="shared" ca="1" si="3"/>
        <v>#N/A</v>
      </c>
      <c r="K80" s="32" t="e">
        <f t="shared" si="0"/>
        <v>#DIV/0!</v>
      </c>
    </row>
    <row r="81" spans="7:11" ht="18" customHeight="1" x14ac:dyDescent="0.2">
      <c r="G81" s="29" t="e">
        <f t="shared" si="1"/>
        <v>#N/A</v>
      </c>
      <c r="H81" s="28">
        <v>31</v>
      </c>
      <c r="I81" s="7" t="e">
        <f t="shared" ca="1" si="2"/>
        <v>#REF!</v>
      </c>
      <c r="J81" s="1" t="e">
        <f t="shared" ca="1" si="3"/>
        <v>#N/A</v>
      </c>
      <c r="K81" s="32" t="e">
        <f t="shared" si="0"/>
        <v>#DIV/0!</v>
      </c>
    </row>
    <row r="82" spans="7:11" ht="18" customHeight="1" x14ac:dyDescent="0.2">
      <c r="G82" s="29" t="e">
        <f t="shared" si="1"/>
        <v>#N/A</v>
      </c>
      <c r="H82" s="28">
        <v>32</v>
      </c>
      <c r="I82" s="7" t="e">
        <f t="shared" ca="1" si="2"/>
        <v>#REF!</v>
      </c>
      <c r="J82" s="1" t="e">
        <f t="shared" ca="1" si="3"/>
        <v>#N/A</v>
      </c>
      <c r="K82" s="32" t="e">
        <f t="shared" ref="K82:K113" si="4">$E$9-(H82*($E$9/(LOOKUP(ReviewDate, Date, Day))))</f>
        <v>#DIV/0!</v>
      </c>
    </row>
    <row r="83" spans="7:11" ht="18" customHeight="1" x14ac:dyDescent="0.2">
      <c r="G83" s="29" t="e">
        <f t="shared" ref="G83:G114" si="5">IF($G$50+$H83 &gt; ReviewDate, NA(), $G$50+$H83)</f>
        <v>#N/A</v>
      </c>
      <c r="H83" s="28">
        <v>33</v>
      </c>
      <c r="I83" s="7" t="e">
        <f t="shared" ref="I83:I114" ca="1" si="6">SUMIF(DateUS01, $G83, BPtsUS01) + SUMIF(DateUS02, $G83, BPtsUS02) + SUMIF(DateUS03, $G83, BPtsUS03) + SUMIF(DateUS04, $G83, BPtsUS04) + SUMIF(DateUS05, $G83, BPtsUS05) + SUMIF(DateUS06, $G83, BPtsUS06) + SUMIF(DateUS07, $G83, BPtsUS07) + SUMIF(DateUS08, $G83, BPtsUS08)</f>
        <v>#REF!</v>
      </c>
      <c r="J83" s="1" t="e">
        <f t="shared" ca="1" si="3"/>
        <v>#N/A</v>
      </c>
      <c r="K83" s="32" t="e">
        <f t="shared" si="4"/>
        <v>#DIV/0!</v>
      </c>
    </row>
    <row r="84" spans="7:11" ht="18" customHeight="1" x14ac:dyDescent="0.2">
      <c r="G84" s="29" t="e">
        <f t="shared" si="5"/>
        <v>#N/A</v>
      </c>
      <c r="H84" s="28">
        <v>34</v>
      </c>
      <c r="I84" s="7" t="e">
        <f t="shared" ca="1" si="6"/>
        <v>#REF!</v>
      </c>
      <c r="J84" s="1" t="e">
        <f t="shared" ca="1" si="3"/>
        <v>#N/A</v>
      </c>
      <c r="K84" s="32" t="e">
        <f t="shared" si="4"/>
        <v>#DIV/0!</v>
      </c>
    </row>
    <row r="85" spans="7:11" ht="18" customHeight="1" x14ac:dyDescent="0.2">
      <c r="G85" s="29" t="e">
        <f t="shared" si="5"/>
        <v>#N/A</v>
      </c>
      <c r="H85" s="28">
        <v>35</v>
      </c>
      <c r="I85" s="7" t="e">
        <f t="shared" ca="1" si="6"/>
        <v>#REF!</v>
      </c>
      <c r="J85" s="1" t="e">
        <f t="shared" ca="1" si="3"/>
        <v>#N/A</v>
      </c>
      <c r="K85" s="32" t="e">
        <f t="shared" si="4"/>
        <v>#DIV/0!</v>
      </c>
    </row>
    <row r="86" spans="7:11" ht="18" customHeight="1" x14ac:dyDescent="0.2">
      <c r="G86" s="29" t="e">
        <f t="shared" si="5"/>
        <v>#N/A</v>
      </c>
      <c r="H86" s="28">
        <v>36</v>
      </c>
      <c r="I86" s="7" t="e">
        <f t="shared" ca="1" si="6"/>
        <v>#REF!</v>
      </c>
      <c r="J86" s="1" t="e">
        <f t="shared" ca="1" si="3"/>
        <v>#N/A</v>
      </c>
      <c r="K86" s="32" t="e">
        <f t="shared" si="4"/>
        <v>#DIV/0!</v>
      </c>
    </row>
    <row r="87" spans="7:11" ht="18" customHeight="1" x14ac:dyDescent="0.2">
      <c r="G87" s="29" t="e">
        <f t="shared" si="5"/>
        <v>#N/A</v>
      </c>
      <c r="H87" s="28">
        <v>37</v>
      </c>
      <c r="I87" s="7" t="e">
        <f t="shared" ca="1" si="6"/>
        <v>#REF!</v>
      </c>
      <c r="J87" s="1" t="e">
        <f t="shared" ca="1" si="3"/>
        <v>#N/A</v>
      </c>
      <c r="K87" s="32" t="e">
        <f t="shared" si="4"/>
        <v>#DIV/0!</v>
      </c>
    </row>
    <row r="88" spans="7:11" ht="18" customHeight="1" x14ac:dyDescent="0.2">
      <c r="G88" s="29" t="e">
        <f t="shared" si="5"/>
        <v>#N/A</v>
      </c>
      <c r="H88" s="28">
        <v>38</v>
      </c>
      <c r="I88" s="7" t="e">
        <f t="shared" ca="1" si="6"/>
        <v>#REF!</v>
      </c>
      <c r="J88" s="1" t="e">
        <f t="shared" ca="1" si="3"/>
        <v>#N/A</v>
      </c>
      <c r="K88" s="32" t="e">
        <f t="shared" si="4"/>
        <v>#DIV/0!</v>
      </c>
    </row>
    <row r="89" spans="7:11" ht="18" customHeight="1" x14ac:dyDescent="0.2">
      <c r="G89" s="29" t="e">
        <f t="shared" si="5"/>
        <v>#N/A</v>
      </c>
      <c r="H89" s="28">
        <v>39</v>
      </c>
      <c r="I89" s="7" t="e">
        <f t="shared" ca="1" si="6"/>
        <v>#REF!</v>
      </c>
      <c r="J89" s="1" t="e">
        <f t="shared" ca="1" si="3"/>
        <v>#N/A</v>
      </c>
      <c r="K89" s="32" t="e">
        <f t="shared" si="4"/>
        <v>#DIV/0!</v>
      </c>
    </row>
    <row r="90" spans="7:11" ht="18" customHeight="1" x14ac:dyDescent="0.2">
      <c r="G90" s="29" t="e">
        <f t="shared" si="5"/>
        <v>#N/A</v>
      </c>
      <c r="H90" s="28">
        <v>40</v>
      </c>
      <c r="I90" s="7" t="e">
        <f t="shared" ca="1" si="6"/>
        <v>#REF!</v>
      </c>
      <c r="J90" s="1" t="e">
        <f t="shared" ca="1" si="3"/>
        <v>#N/A</v>
      </c>
      <c r="K90" s="32" t="e">
        <f t="shared" si="4"/>
        <v>#DIV/0!</v>
      </c>
    </row>
    <row r="91" spans="7:11" ht="18" customHeight="1" x14ac:dyDescent="0.2">
      <c r="G91" s="29" t="e">
        <f t="shared" si="5"/>
        <v>#N/A</v>
      </c>
      <c r="H91" s="28">
        <v>41</v>
      </c>
      <c r="I91" s="7" t="e">
        <f t="shared" ca="1" si="6"/>
        <v>#REF!</v>
      </c>
      <c r="J91" s="1" t="e">
        <f t="shared" ca="1" si="3"/>
        <v>#N/A</v>
      </c>
      <c r="K91" s="32" t="e">
        <f t="shared" si="4"/>
        <v>#DIV/0!</v>
      </c>
    </row>
    <row r="92" spans="7:11" ht="18" customHeight="1" x14ac:dyDescent="0.2">
      <c r="G92" s="29" t="e">
        <f t="shared" si="5"/>
        <v>#N/A</v>
      </c>
      <c r="H92" s="28">
        <v>42</v>
      </c>
      <c r="I92" s="7" t="e">
        <f t="shared" ca="1" si="6"/>
        <v>#REF!</v>
      </c>
      <c r="J92" s="1" t="e">
        <f t="shared" ca="1" si="3"/>
        <v>#N/A</v>
      </c>
      <c r="K92" s="32" t="e">
        <f t="shared" si="4"/>
        <v>#DIV/0!</v>
      </c>
    </row>
    <row r="93" spans="7:11" ht="18" customHeight="1" x14ac:dyDescent="0.2">
      <c r="G93" s="29" t="e">
        <f t="shared" si="5"/>
        <v>#N/A</v>
      </c>
      <c r="H93" s="28">
        <v>43</v>
      </c>
      <c r="I93" s="7" t="e">
        <f t="shared" ca="1" si="6"/>
        <v>#REF!</v>
      </c>
      <c r="J93" s="1" t="e">
        <f t="shared" ca="1" si="3"/>
        <v>#N/A</v>
      </c>
      <c r="K93" s="32" t="e">
        <f t="shared" si="4"/>
        <v>#DIV/0!</v>
      </c>
    </row>
    <row r="94" spans="7:11" ht="18" customHeight="1" x14ac:dyDescent="0.2">
      <c r="G94" s="29" t="e">
        <f t="shared" si="5"/>
        <v>#N/A</v>
      </c>
      <c r="H94" s="28">
        <v>44</v>
      </c>
      <c r="I94" s="7" t="e">
        <f t="shared" ca="1" si="6"/>
        <v>#REF!</v>
      </c>
      <c r="J94" s="1" t="e">
        <f t="shared" ca="1" si="3"/>
        <v>#N/A</v>
      </c>
      <c r="K94" s="32" t="e">
        <f t="shared" si="4"/>
        <v>#DIV/0!</v>
      </c>
    </row>
    <row r="95" spans="7:11" ht="18" customHeight="1" x14ac:dyDescent="0.2">
      <c r="G95" s="29" t="e">
        <f t="shared" si="5"/>
        <v>#N/A</v>
      </c>
      <c r="H95" s="28">
        <v>45</v>
      </c>
      <c r="I95" s="7" t="e">
        <f t="shared" ca="1" si="6"/>
        <v>#REF!</v>
      </c>
      <c r="J95" s="1" t="e">
        <f t="shared" ca="1" si="3"/>
        <v>#N/A</v>
      </c>
      <c r="K95" s="32" t="e">
        <f t="shared" si="4"/>
        <v>#DIV/0!</v>
      </c>
    </row>
    <row r="96" spans="7:11" ht="18" customHeight="1" x14ac:dyDescent="0.2">
      <c r="G96" s="29" t="e">
        <f t="shared" si="5"/>
        <v>#N/A</v>
      </c>
      <c r="H96" s="28">
        <v>46</v>
      </c>
      <c r="I96" s="7" t="e">
        <f t="shared" ca="1" si="6"/>
        <v>#REF!</v>
      </c>
      <c r="J96" s="1" t="e">
        <f t="shared" ca="1" si="3"/>
        <v>#N/A</v>
      </c>
      <c r="K96" s="32" t="e">
        <f t="shared" si="4"/>
        <v>#DIV/0!</v>
      </c>
    </row>
    <row r="97" spans="7:11" ht="18" customHeight="1" x14ac:dyDescent="0.2">
      <c r="G97" s="29" t="e">
        <f t="shared" si="5"/>
        <v>#N/A</v>
      </c>
      <c r="H97" s="28">
        <v>47</v>
      </c>
      <c r="I97" s="7" t="e">
        <f t="shared" ca="1" si="6"/>
        <v>#REF!</v>
      </c>
      <c r="J97" s="1" t="e">
        <f t="shared" ca="1" si="3"/>
        <v>#N/A</v>
      </c>
      <c r="K97" s="32" t="e">
        <f t="shared" si="4"/>
        <v>#DIV/0!</v>
      </c>
    </row>
    <row r="98" spans="7:11" ht="18" customHeight="1" x14ac:dyDescent="0.2">
      <c r="G98" s="29" t="e">
        <f t="shared" si="5"/>
        <v>#N/A</v>
      </c>
      <c r="H98" s="28">
        <v>48</v>
      </c>
      <c r="I98" s="7" t="e">
        <f t="shared" ca="1" si="6"/>
        <v>#REF!</v>
      </c>
      <c r="J98" s="1" t="e">
        <f t="shared" ca="1" si="3"/>
        <v>#N/A</v>
      </c>
      <c r="K98" s="32" t="e">
        <f t="shared" si="4"/>
        <v>#DIV/0!</v>
      </c>
    </row>
    <row r="99" spans="7:11" ht="18" customHeight="1" x14ac:dyDescent="0.2">
      <c r="G99" s="29" t="e">
        <f t="shared" si="5"/>
        <v>#N/A</v>
      </c>
      <c r="H99" s="28">
        <v>49</v>
      </c>
      <c r="I99" s="7" t="e">
        <f t="shared" ca="1" si="6"/>
        <v>#REF!</v>
      </c>
      <c r="J99" s="1" t="e">
        <f t="shared" ca="1" si="3"/>
        <v>#N/A</v>
      </c>
      <c r="K99" s="32" t="e">
        <f t="shared" si="4"/>
        <v>#DIV/0!</v>
      </c>
    </row>
    <row r="100" spans="7:11" ht="18" customHeight="1" x14ac:dyDescent="0.2">
      <c r="G100" s="29" t="e">
        <f t="shared" si="5"/>
        <v>#N/A</v>
      </c>
      <c r="H100" s="28">
        <v>50</v>
      </c>
      <c r="I100" s="7" t="e">
        <f t="shared" ca="1" si="6"/>
        <v>#REF!</v>
      </c>
      <c r="J100" s="1" t="e">
        <f t="shared" ca="1" si="3"/>
        <v>#N/A</v>
      </c>
      <c r="K100" s="32" t="e">
        <f t="shared" si="4"/>
        <v>#DIV/0!</v>
      </c>
    </row>
    <row r="101" spans="7:11" ht="18" customHeight="1" x14ac:dyDescent="0.2">
      <c r="G101" s="29" t="e">
        <f t="shared" si="5"/>
        <v>#N/A</v>
      </c>
      <c r="H101" s="28">
        <v>51</v>
      </c>
      <c r="I101" s="7" t="e">
        <f t="shared" ca="1" si="6"/>
        <v>#REF!</v>
      </c>
      <c r="J101" s="1" t="e">
        <f t="shared" ca="1" si="3"/>
        <v>#N/A</v>
      </c>
      <c r="K101" s="32" t="e">
        <f t="shared" si="4"/>
        <v>#DIV/0!</v>
      </c>
    </row>
    <row r="102" spans="7:11" ht="18" customHeight="1" x14ac:dyDescent="0.2">
      <c r="G102" s="29" t="e">
        <f t="shared" si="5"/>
        <v>#N/A</v>
      </c>
      <c r="H102" s="28">
        <v>52</v>
      </c>
      <c r="I102" s="7" t="e">
        <f t="shared" ca="1" si="6"/>
        <v>#REF!</v>
      </c>
      <c r="J102" s="1" t="e">
        <f t="shared" ca="1" si="3"/>
        <v>#N/A</v>
      </c>
      <c r="K102" s="32" t="e">
        <f t="shared" si="4"/>
        <v>#DIV/0!</v>
      </c>
    </row>
    <row r="103" spans="7:11" ht="18" customHeight="1" x14ac:dyDescent="0.2">
      <c r="G103" s="29" t="e">
        <f t="shared" si="5"/>
        <v>#N/A</v>
      </c>
      <c r="H103" s="28">
        <v>53</v>
      </c>
      <c r="I103" s="7" t="e">
        <f t="shared" ca="1" si="6"/>
        <v>#REF!</v>
      </c>
      <c r="J103" s="1" t="e">
        <f t="shared" ca="1" si="3"/>
        <v>#N/A</v>
      </c>
      <c r="K103" s="32" t="e">
        <f t="shared" si="4"/>
        <v>#DIV/0!</v>
      </c>
    </row>
    <row r="104" spans="7:11" ht="18" customHeight="1" x14ac:dyDescent="0.2">
      <c r="G104" s="29" t="e">
        <f t="shared" si="5"/>
        <v>#N/A</v>
      </c>
      <c r="H104" s="28">
        <v>54</v>
      </c>
      <c r="I104" s="7" t="e">
        <f t="shared" ca="1" si="6"/>
        <v>#REF!</v>
      </c>
      <c r="J104" s="1" t="e">
        <f t="shared" ca="1" si="3"/>
        <v>#N/A</v>
      </c>
      <c r="K104" s="32" t="e">
        <f t="shared" si="4"/>
        <v>#DIV/0!</v>
      </c>
    </row>
    <row r="105" spans="7:11" ht="18" customHeight="1" x14ac:dyDescent="0.2">
      <c r="G105" s="29" t="e">
        <f t="shared" si="5"/>
        <v>#N/A</v>
      </c>
      <c r="H105" s="28">
        <v>55</v>
      </c>
      <c r="I105" s="7" t="e">
        <f t="shared" ca="1" si="6"/>
        <v>#REF!</v>
      </c>
      <c r="J105" s="1" t="e">
        <f t="shared" ca="1" si="3"/>
        <v>#N/A</v>
      </c>
      <c r="K105" s="32" t="e">
        <f t="shared" si="4"/>
        <v>#DIV/0!</v>
      </c>
    </row>
    <row r="106" spans="7:11" ht="18" customHeight="1" x14ac:dyDescent="0.2">
      <c r="G106" s="29" t="e">
        <f t="shared" si="5"/>
        <v>#N/A</v>
      </c>
      <c r="H106" s="28">
        <v>56</v>
      </c>
      <c r="I106" s="7" t="e">
        <f t="shared" ca="1" si="6"/>
        <v>#REF!</v>
      </c>
      <c r="J106" s="1" t="e">
        <f t="shared" ca="1" si="3"/>
        <v>#N/A</v>
      </c>
      <c r="K106" s="32" t="e">
        <f t="shared" si="4"/>
        <v>#DIV/0!</v>
      </c>
    </row>
    <row r="107" spans="7:11" ht="18" customHeight="1" x14ac:dyDescent="0.2">
      <c r="G107" s="29" t="e">
        <f t="shared" si="5"/>
        <v>#N/A</v>
      </c>
      <c r="H107" s="28">
        <v>57</v>
      </c>
      <c r="I107" s="7" t="e">
        <f t="shared" ca="1" si="6"/>
        <v>#REF!</v>
      </c>
      <c r="J107" s="1" t="e">
        <f t="shared" ca="1" si="3"/>
        <v>#N/A</v>
      </c>
      <c r="K107" s="32" t="e">
        <f t="shared" si="4"/>
        <v>#DIV/0!</v>
      </c>
    </row>
    <row r="108" spans="7:11" ht="18" customHeight="1" x14ac:dyDescent="0.2">
      <c r="G108" s="29" t="e">
        <f t="shared" si="5"/>
        <v>#N/A</v>
      </c>
      <c r="H108" s="28">
        <v>58</v>
      </c>
      <c r="I108" s="7" t="e">
        <f t="shared" ca="1" si="6"/>
        <v>#REF!</v>
      </c>
      <c r="J108" s="1" t="e">
        <f t="shared" ca="1" si="3"/>
        <v>#N/A</v>
      </c>
      <c r="K108" s="32" t="e">
        <f t="shared" si="4"/>
        <v>#DIV/0!</v>
      </c>
    </row>
    <row r="109" spans="7:11" ht="18" customHeight="1" x14ac:dyDescent="0.2">
      <c r="G109" s="29" t="e">
        <f t="shared" si="5"/>
        <v>#N/A</v>
      </c>
      <c r="H109" s="28">
        <v>59</v>
      </c>
      <c r="I109" s="7" t="e">
        <f t="shared" ca="1" si="6"/>
        <v>#REF!</v>
      </c>
      <c r="J109" s="1" t="e">
        <f t="shared" ca="1" si="3"/>
        <v>#N/A</v>
      </c>
      <c r="K109" s="32" t="e">
        <f t="shared" si="4"/>
        <v>#DIV/0!</v>
      </c>
    </row>
    <row r="110" spans="7:11" ht="18" customHeight="1" x14ac:dyDescent="0.2">
      <c r="G110" s="29" t="e">
        <f t="shared" si="5"/>
        <v>#N/A</v>
      </c>
      <c r="H110" s="28">
        <v>60</v>
      </c>
      <c r="I110" s="7" t="e">
        <f t="shared" ca="1" si="6"/>
        <v>#REF!</v>
      </c>
      <c r="J110" s="1" t="e">
        <f t="shared" ca="1" si="3"/>
        <v>#N/A</v>
      </c>
      <c r="K110" s="32" t="e">
        <f t="shared" si="4"/>
        <v>#DIV/0!</v>
      </c>
    </row>
    <row r="111" spans="7:11" ht="18" customHeight="1" x14ac:dyDescent="0.2">
      <c r="G111" s="29" t="e">
        <f t="shared" si="5"/>
        <v>#N/A</v>
      </c>
      <c r="H111" s="28">
        <v>61</v>
      </c>
      <c r="I111" s="7" t="e">
        <f t="shared" ca="1" si="6"/>
        <v>#REF!</v>
      </c>
      <c r="J111" s="1" t="e">
        <f t="shared" ca="1" si="3"/>
        <v>#N/A</v>
      </c>
      <c r="K111" s="32" t="e">
        <f t="shared" si="4"/>
        <v>#DIV/0!</v>
      </c>
    </row>
    <row r="112" spans="7:11" ht="18" customHeight="1" x14ac:dyDescent="0.2">
      <c r="G112" s="29" t="e">
        <f t="shared" si="5"/>
        <v>#N/A</v>
      </c>
      <c r="H112" s="28">
        <v>62</v>
      </c>
      <c r="I112" s="7" t="e">
        <f t="shared" ca="1" si="6"/>
        <v>#REF!</v>
      </c>
      <c r="J112" s="1" t="e">
        <f t="shared" ca="1" si="3"/>
        <v>#N/A</v>
      </c>
      <c r="K112" s="32" t="e">
        <f t="shared" si="4"/>
        <v>#DIV/0!</v>
      </c>
    </row>
    <row r="113" spans="7:11" ht="18" customHeight="1" x14ac:dyDescent="0.2">
      <c r="G113" s="29" t="e">
        <f t="shared" si="5"/>
        <v>#N/A</v>
      </c>
      <c r="H113" s="28">
        <v>63</v>
      </c>
      <c r="I113" s="7" t="e">
        <f t="shared" ca="1" si="6"/>
        <v>#REF!</v>
      </c>
      <c r="J113" s="1" t="e">
        <f t="shared" ca="1" si="3"/>
        <v>#N/A</v>
      </c>
      <c r="K113" s="32" t="e">
        <f t="shared" si="4"/>
        <v>#DIV/0!</v>
      </c>
    </row>
    <row r="114" spans="7:11" ht="18" customHeight="1" x14ac:dyDescent="0.2">
      <c r="G114" s="29" t="e">
        <f t="shared" si="5"/>
        <v>#N/A</v>
      </c>
      <c r="H114" s="28">
        <v>64</v>
      </c>
      <c r="I114" s="7" t="e">
        <f t="shared" ca="1" si="6"/>
        <v>#REF!</v>
      </c>
      <c r="J114" s="1" t="e">
        <f t="shared" ca="1" si="3"/>
        <v>#N/A</v>
      </c>
      <c r="K114" s="32" t="e">
        <f t="shared" ref="K114:K121" si="7">$E$9-(H114*($E$9/(LOOKUP(ReviewDate, Date, Day))))</f>
        <v>#DIV/0!</v>
      </c>
    </row>
    <row r="115" spans="7:11" ht="18" customHeight="1" x14ac:dyDescent="0.2">
      <c r="G115" s="29" t="e">
        <f t="shared" ref="G115:G121" si="8">IF($G$50+$H115 &gt; ReviewDate, NA(), $G$50+$H115)</f>
        <v>#N/A</v>
      </c>
      <c r="H115" s="28">
        <v>65</v>
      </c>
      <c r="I115" s="7" t="e">
        <f t="shared" ref="I115:I121" ca="1" si="9">SUMIF(DateUS01, $G115, BPtsUS01) + SUMIF(DateUS02, $G115, BPtsUS02) + SUMIF(DateUS03, $G115, BPtsUS03) + SUMIF(DateUS04, $G115, BPtsUS04) + SUMIF(DateUS05, $G115, BPtsUS05) + SUMIF(DateUS06, $G115, BPtsUS06) + SUMIF(DateUS07, $G115, BPtsUS07) + SUMIF(DateUS08, $G115, BPtsUS08)</f>
        <v>#REF!</v>
      </c>
      <c r="J115" s="1" t="e">
        <f t="shared" ca="1" si="3"/>
        <v>#N/A</v>
      </c>
      <c r="K115" s="32" t="e">
        <f t="shared" si="7"/>
        <v>#DIV/0!</v>
      </c>
    </row>
    <row r="116" spans="7:11" ht="18" customHeight="1" x14ac:dyDescent="0.2">
      <c r="G116" s="29" t="e">
        <f t="shared" si="8"/>
        <v>#N/A</v>
      </c>
      <c r="H116" s="28">
        <v>66</v>
      </c>
      <c r="I116" s="7" t="e">
        <f t="shared" ca="1" si="9"/>
        <v>#REF!</v>
      </c>
      <c r="J116" s="1" t="e">
        <f t="shared" ref="J116:J121" ca="1" si="10">IF($G116 &lt;= TODAY(), $J115-$I116, NA())</f>
        <v>#N/A</v>
      </c>
      <c r="K116" s="32" t="e">
        <f t="shared" si="7"/>
        <v>#DIV/0!</v>
      </c>
    </row>
    <row r="117" spans="7:11" ht="18" customHeight="1" x14ac:dyDescent="0.2">
      <c r="G117" s="29" t="e">
        <f t="shared" si="8"/>
        <v>#N/A</v>
      </c>
      <c r="H117" s="28">
        <v>67</v>
      </c>
      <c r="I117" s="7" t="e">
        <f t="shared" ca="1" si="9"/>
        <v>#REF!</v>
      </c>
      <c r="J117" s="1" t="e">
        <f t="shared" ca="1" si="10"/>
        <v>#N/A</v>
      </c>
      <c r="K117" s="32" t="e">
        <f t="shared" si="7"/>
        <v>#DIV/0!</v>
      </c>
    </row>
    <row r="118" spans="7:11" ht="18" customHeight="1" x14ac:dyDescent="0.2">
      <c r="G118" s="29" t="e">
        <f t="shared" si="8"/>
        <v>#N/A</v>
      </c>
      <c r="H118" s="28">
        <v>68</v>
      </c>
      <c r="I118" s="7" t="e">
        <f t="shared" ca="1" si="9"/>
        <v>#REF!</v>
      </c>
      <c r="J118" s="1" t="e">
        <f t="shared" ca="1" si="10"/>
        <v>#N/A</v>
      </c>
      <c r="K118" s="32" t="e">
        <f t="shared" si="7"/>
        <v>#DIV/0!</v>
      </c>
    </row>
    <row r="119" spans="7:11" ht="18" customHeight="1" x14ac:dyDescent="0.2">
      <c r="G119" s="29" t="e">
        <f t="shared" si="8"/>
        <v>#N/A</v>
      </c>
      <c r="H119" s="28">
        <v>69</v>
      </c>
      <c r="I119" s="7" t="e">
        <f t="shared" ca="1" si="9"/>
        <v>#REF!</v>
      </c>
      <c r="J119" s="1" t="e">
        <f t="shared" ca="1" si="10"/>
        <v>#N/A</v>
      </c>
      <c r="K119" s="32" t="e">
        <f t="shared" si="7"/>
        <v>#DIV/0!</v>
      </c>
    </row>
    <row r="120" spans="7:11" ht="18" customHeight="1" x14ac:dyDescent="0.2">
      <c r="G120" s="29" t="e">
        <f t="shared" si="8"/>
        <v>#N/A</v>
      </c>
      <c r="H120" s="28">
        <v>70</v>
      </c>
      <c r="I120" s="7" t="e">
        <f t="shared" ca="1" si="9"/>
        <v>#REF!</v>
      </c>
      <c r="J120" s="1" t="e">
        <f t="shared" ca="1" si="10"/>
        <v>#N/A</v>
      </c>
      <c r="K120" s="32" t="e">
        <f t="shared" si="7"/>
        <v>#DIV/0!</v>
      </c>
    </row>
    <row r="121" spans="7:11" ht="18" customHeight="1" x14ac:dyDescent="0.2">
      <c r="G121" s="29" t="e">
        <f t="shared" si="8"/>
        <v>#N/A</v>
      </c>
      <c r="H121" s="28">
        <v>71</v>
      </c>
      <c r="I121" s="7" t="e">
        <f t="shared" ca="1" si="9"/>
        <v>#REF!</v>
      </c>
      <c r="J121" s="1" t="e">
        <f t="shared" ca="1" si="10"/>
        <v>#N/A</v>
      </c>
      <c r="K121" s="32" t="e">
        <f t="shared" si="7"/>
        <v>#DIV/0!</v>
      </c>
    </row>
    <row r="185" spans="7:7" x14ac:dyDescent="0.2">
      <c r="G185" s="2">
        <v>41625</v>
      </c>
    </row>
    <row r="186" spans="7:7" x14ac:dyDescent="0.2">
      <c r="G186" s="2">
        <v>41625</v>
      </c>
    </row>
    <row r="187" spans="7:7" x14ac:dyDescent="0.2">
      <c r="G187" s="2">
        <v>41625</v>
      </c>
    </row>
    <row r="188" spans="7:7" x14ac:dyDescent="0.2">
      <c r="G188" s="2">
        <v>41625</v>
      </c>
    </row>
    <row r="189" spans="7:7" x14ac:dyDescent="0.2">
      <c r="G189" s="2">
        <v>41625</v>
      </c>
    </row>
    <row r="190" spans="7:7" x14ac:dyDescent="0.2">
      <c r="G190" s="2">
        <v>41625</v>
      </c>
    </row>
  </sheetData>
  <mergeCells count="17">
    <mergeCell ref="B32:I32"/>
    <mergeCell ref="G37:H37"/>
    <mergeCell ref="G48:K48"/>
    <mergeCell ref="B11:I11"/>
    <mergeCell ref="G16:H16"/>
    <mergeCell ref="B39:I39"/>
    <mergeCell ref="G44:H44"/>
    <mergeCell ref="B18:I18"/>
    <mergeCell ref="G23:H23"/>
    <mergeCell ref="C3:D3"/>
    <mergeCell ref="B25:I25"/>
    <mergeCell ref="G30:H30"/>
    <mergeCell ref="C4:D4"/>
    <mergeCell ref="C5:D5"/>
    <mergeCell ref="C6:D6"/>
    <mergeCell ref="C7:D7"/>
    <mergeCell ref="C8:D8"/>
  </mergeCells>
  <conditionalFormatting sqref="B41:I43 B13:I15">
    <cfRule type="expression" dxfId="21" priority="38" stopIfTrue="1">
      <formula>AND($B13&lt;&gt;"", $C13&lt;&gt;"", $D13&lt;&gt;"", $E13="", $F13&lt;&gt;"")</formula>
    </cfRule>
    <cfRule type="expression" dxfId="20" priority="39" stopIfTrue="1">
      <formula>AND($B13&lt;&gt;"", $C13&lt;&gt;"", $D13&lt;&gt;"", $E13&lt;&gt;"", $F13&lt;&gt;"", $G13&lt;&gt;"YES")</formula>
    </cfRule>
    <cfRule type="expression" dxfId="19" priority="40" stopIfTrue="1">
      <formula>AND($B13&lt;&gt;"", $C13&lt;&gt;"", $D13&lt;&gt;"", $E13&lt;&gt;"", $F13&lt;&gt;"", $G13="YES")</formula>
    </cfRule>
  </conditionalFormatting>
  <conditionalFormatting sqref="C20:I22">
    <cfRule type="expression" dxfId="18" priority="23" stopIfTrue="1">
      <formula>AND($B20&lt;&gt;"", $C20&lt;&gt;"", $D20&lt;&gt;"", $E20="", $F20&lt;&gt;"")</formula>
    </cfRule>
    <cfRule type="expression" dxfId="17" priority="24" stopIfTrue="1">
      <formula>AND($B20&lt;&gt;"", $C20&lt;&gt;"", $D20&lt;&gt;"", $E20&lt;&gt;"", $F20&lt;&gt;"", $G20&lt;&gt;"YES")</formula>
    </cfRule>
    <cfRule type="expression" dxfId="16" priority="25" stopIfTrue="1">
      <formula>AND($B20&lt;&gt;"", $C20&lt;&gt;"", $D20&lt;&gt;"", $E20&lt;&gt;"", $F20&lt;&gt;"", $G20="YES")</formula>
    </cfRule>
  </conditionalFormatting>
  <conditionalFormatting sqref="C27:I29">
    <cfRule type="expression" dxfId="15" priority="20" stopIfTrue="1">
      <formula>AND($B27&lt;&gt;"", $C27&lt;&gt;"", $D27&lt;&gt;"", $E27="", $F27&lt;&gt;"")</formula>
    </cfRule>
    <cfRule type="expression" dxfId="14" priority="21" stopIfTrue="1">
      <formula>AND($B27&lt;&gt;"", $C27&lt;&gt;"", $D27&lt;&gt;"", $E27&lt;&gt;"", $F27&lt;&gt;"", $G27&lt;&gt;"YES")</formula>
    </cfRule>
    <cfRule type="expression" dxfId="13" priority="22" stopIfTrue="1">
      <formula>AND($B27&lt;&gt;"", $C27&lt;&gt;"", $D27&lt;&gt;"", $E27&lt;&gt;"", $F27&lt;&gt;"", $G27="YES")</formula>
    </cfRule>
  </conditionalFormatting>
  <conditionalFormatting sqref="C34:I36">
    <cfRule type="expression" dxfId="12" priority="17" stopIfTrue="1">
      <formula>AND($B34&lt;&gt;"", $C34&lt;&gt;"", $D34&lt;&gt;"", $E34="", $F34&lt;&gt;"")</formula>
    </cfRule>
    <cfRule type="expression" dxfId="11" priority="18" stopIfTrue="1">
      <formula>AND($B34&lt;&gt;"", $C34&lt;&gt;"", $D34&lt;&gt;"", $E34&lt;&gt;"", $F34&lt;&gt;"", $G34&lt;&gt;"YES")</formula>
    </cfRule>
    <cfRule type="expression" dxfId="10" priority="19" stopIfTrue="1">
      <formula>AND($B34&lt;&gt;"", $C34&lt;&gt;"", $D34&lt;&gt;"", $E34&lt;&gt;"", $F34&lt;&gt;"", $G34="YES")</formula>
    </cfRule>
  </conditionalFormatting>
  <conditionalFormatting sqref="B20:B22">
    <cfRule type="expression" dxfId="9" priority="11" stopIfTrue="1">
      <formula>AND($B20&lt;&gt;"", $C20&lt;&gt;"", $D20&lt;&gt;"", $E20="", $F20&lt;&gt;"")</formula>
    </cfRule>
    <cfRule type="expression" dxfId="8" priority="12" stopIfTrue="1">
      <formula>AND($B20&lt;&gt;"", $C20&lt;&gt;"", $D20&lt;&gt;"", $E20&lt;&gt;"", $F20&lt;&gt;"", $G20&lt;&gt;"YES")</formula>
    </cfRule>
    <cfRule type="expression" dxfId="7" priority="13" stopIfTrue="1">
      <formula>AND($B20&lt;&gt;"", $C20&lt;&gt;"", $D20&lt;&gt;"", $E20&lt;&gt;"", $F20&lt;&gt;"", $G20="YES")</formula>
    </cfRule>
  </conditionalFormatting>
  <conditionalFormatting sqref="B27:B29">
    <cfRule type="expression" dxfId="6" priority="8" stopIfTrue="1">
      <formula>AND($B27&lt;&gt;"", $C27&lt;&gt;"", $D27&lt;&gt;"", $E27="", $F27&lt;&gt;"")</formula>
    </cfRule>
    <cfRule type="expression" dxfId="5" priority="9" stopIfTrue="1">
      <formula>AND($B27&lt;&gt;"", $C27&lt;&gt;"", $D27&lt;&gt;"", $E27&lt;&gt;"", $F27&lt;&gt;"", $G27&lt;&gt;"YES")</formula>
    </cfRule>
    <cfRule type="expression" dxfId="4" priority="10" stopIfTrue="1">
      <formula>AND($B27&lt;&gt;"", $C27&lt;&gt;"", $D27&lt;&gt;"", $E27&lt;&gt;"", $F27&lt;&gt;"", $G27="YES")</formula>
    </cfRule>
  </conditionalFormatting>
  <conditionalFormatting sqref="B34:B36">
    <cfRule type="expression" dxfId="3" priority="5" stopIfTrue="1">
      <formula>AND($B34&lt;&gt;"", $C34&lt;&gt;"", $D34&lt;&gt;"", $E34="", $F34&lt;&gt;"")</formula>
    </cfRule>
    <cfRule type="expression" dxfId="2" priority="6" stopIfTrue="1">
      <formula>AND($B34&lt;&gt;"", $C34&lt;&gt;"", $D34&lt;&gt;"", $E34&lt;&gt;"", $F34&lt;&gt;"", $G34&lt;&gt;"YES")</formula>
    </cfRule>
    <cfRule type="expression" dxfId="1" priority="7" stopIfTrue="1">
      <formula>AND($B34&lt;&gt;"", $C34&lt;&gt;"", $D34&lt;&gt;"", $E34&lt;&gt;"", $F34&lt;&gt;"", $G34="YES")</formula>
    </cfRule>
  </conditionalFormatting>
  <conditionalFormatting sqref="G51:K121">
    <cfRule type="expression" dxfId="0" priority="1" stopIfTrue="1">
      <formula>($G$50+$H51 &gt; ReviewDate)</formula>
    </cfRule>
  </conditionalFormatting>
  <dataValidations count="5">
    <dataValidation type="list" allowBlank="1" showInputMessage="1" showErrorMessage="1" sqref="E20:E22 E27:E29 E34:E36 E41:E43 E13:E15">
      <formula1>Team</formula1>
    </dataValidation>
    <dataValidation type="decimal" operator="greaterThan" allowBlank="1" showInputMessage="1" showErrorMessage="1" errorTitle="Invalid Value" error="Points must be greater than 0" sqref="F20:F22 F27:F29 F34:F36 F41:F43 F13:F15">
      <formula1>0</formula1>
    </dataValidation>
    <dataValidation type="list" allowBlank="1" showInputMessage="1" showErrorMessage="1" sqref="G20:G22 G27:G29 G34:G36 G41:G43 G13:G15">
      <formula1>Checkbox</formula1>
    </dataValidation>
    <dataValidation type="list" allowBlank="1" showInputMessage="1" showErrorMessage="1" sqref="C20:C22 C27:C29 C34:C36 C41:C43 C13:C15">
      <formula1>INDIRECT($B13)</formula1>
    </dataValidation>
    <dataValidation type="list" allowBlank="1" showInputMessage="1" showErrorMessage="1" sqref="B41:B43 B20:B22 B27:B29 B34:B36 B13:B15">
      <formula1>ECMS</formula1>
    </dataValidation>
  </dataValidations>
  <pageMargins left="0.7" right="0.7" top="0.75" bottom="0.75" header="0.3" footer="0.3"/>
  <pageSetup orientation="portrait" r:id="rId1"/>
  <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EriCOLL Docs" ma:contentTypeID="0x010100BB337192E63E44A7A744CE7393F41F4E0062CE9D1D96936544B1F3B7CB378262DB" ma:contentTypeVersion="3" ma:contentTypeDescription="EriCOLL Document Content Type" ma:contentTypeScope="" ma:versionID="ba310ee44c1fa30210351c319c58b5d4">
  <xsd:schema xmlns:xsd="http://www.w3.org/2001/XMLSchema" xmlns:xs="http://www.w3.org/2001/XMLSchema" xmlns:p="http://schemas.microsoft.com/office/2006/metadata/properties" xmlns:ns2="3f7ba4b2-8e6d-40ca-9bdb-b9ef7d115924" xmlns:ns3="08b2df90-05d3-4030-90d4-c9feeb4a1cd9" targetNamespace="http://schemas.microsoft.com/office/2006/metadata/properties" ma:root="true" ma:fieldsID="8ab8abc045846be5b97cdec8eaf280f0" ns2:_="" ns3:_="">
    <xsd:import namespace="3f7ba4b2-8e6d-40ca-9bdb-b9ef7d115924"/>
    <xsd:import namespace="08b2df90-05d3-4030-90d4-c9feeb4a1cd9"/>
    <xsd:element name="properties">
      <xsd:complexType>
        <xsd:sequence>
          <xsd:element name="documentManagement">
            <xsd:complexType>
              <xsd:all>
                <xsd:element ref="ns2:Prepared." minOccurs="0"/>
                <xsd:element ref="ns2:EriCOLLDate." minOccurs="0"/>
                <xsd:element ref="ns2:AbstractOrSummary." minOccurs="0"/>
                <xsd:element ref="ns3:TaxKeywordTaxHTField" minOccurs="0"/>
                <xsd:element ref="ns3:TaxCatchAll" minOccurs="0"/>
                <xsd:element ref="ns3:TaxCatchAllLabel" minOccurs="0"/>
                <xsd:element ref="ns2:EriCOLLCategoryTaxHTField0" minOccurs="0"/>
                <xsd:element ref="ns2:EriCOLLOrganizationUnitTaxHTField0" minOccurs="0"/>
                <xsd:element ref="ns2:EriCOLLCompetenceTaxHTField0" minOccurs="0"/>
                <xsd:element ref="ns2:EriCOLLCountryTaxHTField0" minOccurs="0"/>
                <xsd:element ref="ns2:EriCOLLProcessTaxHTField0" minOccurs="0"/>
                <xsd:element ref="ns2:EriCOLLProductsTaxHTField0" minOccurs="0"/>
                <xsd:element ref="ns2:EriCOLLProjectsTaxHTField0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3f7ba4b2-8e6d-40ca-9bdb-b9ef7d115924" elementFormDefault="qualified">
    <xsd:import namespace="http://schemas.microsoft.com/office/2006/documentManagement/types"/>
    <xsd:import namespace="http://schemas.microsoft.com/office/infopath/2007/PartnerControls"/>
    <xsd:element name="Prepared." ma:index="8" nillable="true" ma:displayName="Prepared." ma:internalName="Prepared_x002e_" ma:readOnly="false">
      <xsd:simpleType>
        <xsd:restriction base="dms:Text">
          <xsd:maxLength value="255"/>
        </xsd:restriction>
      </xsd:simpleType>
    </xsd:element>
    <xsd:element name="EriCOLLDate." ma:index="9" nillable="true" ma:displayName="Date." ma:internalName="EriCOLLDate_x002e_" ma:readOnly="false">
      <xsd:simpleType>
        <xsd:restriction base="dms:Text">
          <xsd:maxLength value="255"/>
        </xsd:restriction>
      </xsd:simpleType>
    </xsd:element>
    <xsd:element name="AbstractOrSummary." ma:index="10" nillable="true" ma:displayName="Abstract/Summary." ma:internalName="AbstractOrSummary_x002e_" ma:readOnly="false">
      <xsd:simpleType>
        <xsd:restriction base="dms:Note"/>
      </xsd:simpleType>
    </xsd:element>
    <xsd:element name="EriCOLLCategoryTaxHTField0" ma:index="15" nillable="true" ma:taxonomy="true" ma:internalName="EriCOLLCategoryTaxHTField0" ma:taxonomyFieldName="EriCOLLCategory" ma:displayName="Category." ma:readOnly="false" ma:fieldId="{e72cc46e-70aa-41d8-b11d-9bbfd769c5eb}" ma:taxonomyMulti="true" ma:sspId="0e710d51-58b4-4530-836b-fce5679fe049" ma:termSetId="f35c1d4c-78ac-4f40-bb38-8d71ec401e64" ma:anchorId="00000000-0000-0000-0000-000000000000" ma:open="false" ma:isKeyword="false">
      <xsd:complexType>
        <xsd:sequence>
          <xsd:element ref="pc:Terms" minOccurs="0" maxOccurs="1"/>
        </xsd:sequence>
      </xsd:complexType>
    </xsd:element>
    <xsd:element name="EriCOLLOrganizationUnitTaxHTField0" ma:index="17" nillable="true" ma:taxonomy="true" ma:internalName="EriCOLLOrganizationUnitTaxHTField0" ma:taxonomyFieldName="EriCOLLOrganizationUnit" ma:displayName="Organization Unit." ma:readOnly="false" ma:default="1;#BMUM SA Billing ＆ Customer Care|0ed2c967-c635-4b2a-9064-50e3b12d1551" ma:fieldId="{7588c015-b936-47f7-bb64-663949dc467e}" ma:taxonomyMulti="true" ma:sspId="0e710d51-58b4-4530-836b-fce5679fe049" ma:termSetId="67f5b04f-38bf-47c9-889f-003f3bcd1395" ma:anchorId="00000000-0000-0000-0000-000000000000" ma:open="false" ma:isKeyword="false">
      <xsd:complexType>
        <xsd:sequence>
          <xsd:element ref="pc:Terms" minOccurs="0" maxOccurs="1"/>
        </xsd:sequence>
      </xsd:complexType>
    </xsd:element>
    <xsd:element name="EriCOLLCompetenceTaxHTField0" ma:index="19" nillable="true" ma:taxonomy="true" ma:internalName="EriCOLLCompetenceTaxHTField0" ma:taxonomyFieldName="EriCOLLCompetence" ma:displayName="Competence." ma:readOnly="false" ma:fieldId="{ff7cf505-5048-4f7f-991c-4d426a4ce272}" ma:taxonomyMulti="true" ma:sspId="0e710d51-58b4-4530-836b-fce5679fe049" ma:termSetId="3b0c01a2-44af-4012-bd1f-a99c2b798efa" ma:anchorId="00000000-0000-0000-0000-000000000000" ma:open="false" ma:isKeyword="false">
      <xsd:complexType>
        <xsd:sequence>
          <xsd:element ref="pc:Terms" minOccurs="0" maxOccurs="1"/>
        </xsd:sequence>
      </xsd:complexType>
    </xsd:element>
    <xsd:element name="EriCOLLCountryTaxHTField0" ma:index="21" nillable="true" ma:taxonomy="true" ma:internalName="EriCOLLCountryTaxHTField0" ma:taxonomyFieldName="EriCOLLCountry" ma:displayName="Country." ma:readOnly="false" ma:fieldId="{a6c34b01-f2c2-4f05-b9ad-d4935bafeeb2}" ma:taxonomyMulti="true" ma:sspId="0e710d51-58b4-4530-836b-fce5679fe049" ma:termSetId="d4bcc4ed-3121-4db4-a523-83f3d1018798" ma:anchorId="00000000-0000-0000-0000-000000000000" ma:open="false" ma:isKeyword="false">
      <xsd:complexType>
        <xsd:sequence>
          <xsd:element ref="pc:Terms" minOccurs="0" maxOccurs="1"/>
        </xsd:sequence>
      </xsd:complexType>
    </xsd:element>
    <xsd:element name="EriCOLLProcessTaxHTField0" ma:index="23" nillable="true" ma:taxonomy="true" ma:internalName="EriCOLLProcessTaxHTField0" ma:taxonomyFieldName="EriCOLLProcess" ma:displayName="Process." ma:readOnly="false" ma:fieldId="{69b1f811-b392-4734-aa69-0125c68961bd}" ma:taxonomyMulti="true" ma:sspId="0e710d51-58b4-4530-836b-fce5679fe049" ma:termSetId="3d5773de-e402-4858-b471-2c5969a51f0d" ma:anchorId="00000000-0000-0000-0000-000000000000" ma:open="false" ma:isKeyword="false">
      <xsd:complexType>
        <xsd:sequence>
          <xsd:element ref="pc:Terms" minOccurs="0" maxOccurs="1"/>
        </xsd:sequence>
      </xsd:complexType>
    </xsd:element>
    <xsd:element name="EriCOLLProductsTaxHTField0" ma:index="25" nillable="true" ma:taxonomy="true" ma:internalName="EriCOLLProductsTaxHTField0" ma:taxonomyFieldName="EriCOLLProducts" ma:displayName="Products." ma:readOnly="false" ma:fieldId="{e7fe205b-2114-43c4-bcb7-1bbbbd16d461}" ma:taxonomyMulti="true" ma:sspId="0e710d51-58b4-4530-836b-fce5679fe049" ma:termSetId="943c8fbd-8b50-4b6a-b4b8-9342be84b8f7" ma:anchorId="00000000-0000-0000-0000-000000000000" ma:open="false" ma:isKeyword="false">
      <xsd:complexType>
        <xsd:sequence>
          <xsd:element ref="pc:Terms" minOccurs="0" maxOccurs="1"/>
        </xsd:sequence>
      </xsd:complexType>
    </xsd:element>
    <xsd:element name="EriCOLLProjectsTaxHTField0" ma:index="27" nillable="true" ma:taxonomy="true" ma:internalName="EriCOLLProjectsTaxHTField0" ma:taxonomyFieldName="EriCOLLProjects" ma:displayName="Projects." ma:readOnly="false" ma:fieldId="{6d690e96-80d8-4550-9bd4-922d740a55ff}" ma:taxonomyMulti="true" ma:sspId="0e710d51-58b4-4530-836b-fce5679fe049" ma:termSetId="66ed0c52-5b15-42c7-a9e7-77fbdfe62b34" ma:anchorId="00000000-0000-0000-0000-000000000000" ma:open="false" ma:isKeyword="false">
      <xsd:complexType>
        <xsd:sequence>
          <xsd:element ref="pc:Terms" minOccurs="0" maxOccurs="1"/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08b2df90-05d3-4030-90d4-c9feeb4a1cd9" elementFormDefault="qualified">
    <xsd:import namespace="http://schemas.microsoft.com/office/2006/documentManagement/types"/>
    <xsd:import namespace="http://schemas.microsoft.com/office/infopath/2007/PartnerControls"/>
    <xsd:element name="TaxKeywordTaxHTField" ma:index="11" nillable="true" ma:taxonomy="true" ma:internalName="TaxKeywordTaxHTField" ma:taxonomyFieldName="TaxKeyword" ma:displayName="Enterprise Keywords" ma:fieldId="{23f27201-bee3-471e-b2e7-b64fd8b7ca38}" ma:taxonomyMulti="true" ma:sspId="0e710d51-58b4-4530-836b-fce5679fe049" ma:termSetId="00000000-0000-0000-0000-000000000000" ma:anchorId="00000000-0000-0000-0000-000000000000" ma:open="true" ma:isKeyword="true">
      <xsd:complexType>
        <xsd:sequence>
          <xsd:element ref="pc:Terms" minOccurs="0" maxOccurs="1"/>
        </xsd:sequence>
      </xsd:complexType>
    </xsd:element>
    <xsd:element name="TaxCatchAll" ma:index="12" nillable="true" ma:displayName="Taxonomy Catch All Column" ma:hidden="true" ma:list="{4bed7372-3bd8-4ce3-a65d-352ffd20c880}" ma:internalName="TaxCatchAll" ma:showField="CatchAllData" ma:web="3f7ba4b2-8e6d-40ca-9bdb-b9ef7d115924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TaxCatchAllLabel" ma:index="13" nillable="true" ma:displayName="Taxonomy Catch All Column1" ma:hidden="true" ma:list="{4bed7372-3bd8-4ce3-a65d-352ffd20c880}" ma:internalName="TaxCatchAllLabel" ma:readOnly="true" ma:showField="CatchAllDataLabel" ma:web="3f7ba4b2-8e6d-40ca-9bdb-b9ef7d115924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?mso-contentType ?>
<SharedContentType xmlns="Microsoft.SharePoint.Taxonomy.ContentTypeSync" SourceId="0e710d51-58b4-4530-836b-fce5679fe049" ContentTypeId="0x010100BB337192E63E44A7A744CE7393F41F4E" PreviousValue="false"/>
</file>

<file path=customXml/item4.xml><?xml version="1.0" encoding="utf-8"?>
<LongProperties xmlns="http://schemas.microsoft.com/office/2006/metadata/longProperties">
  <LongProp xmlns="" name="TaxCatchAll"><![CDATA[67;#BSCS|a57028e0-3b7f-4e5e-8759-aa303abc6821;#66;#VODAFONE;#62;#project activities;#15;#Project|5fd1cb76-0b0e-4149-8caf-738ae6fe14fe;#59;#RLAM IC BSS Development SP|1cf044e1-854d-4781-9886-7bdc448c23d7;#58;#Brazil|9242ffd7-e355-42a3-a803-b7b4da26c871;#57;#Process|75bb6e9a-d7e2-4301-822a-29269eb39e65;#10;#Development|053fcc88-ab49-4f69-87df-fc64cb0bf305;#31;#BSCS]]></LongProp>
</LongProperties>
</file>

<file path=customXml/item5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Prepared. xmlns="3f7ba4b2-8e6d-40ca-9bdb-b9ef7d115924">Caio Fraga Tedesco</Prepared.>
    <EriCOLLOrganizationUnitTaxHTField0 xmlns="3f7ba4b2-8e6d-40ca-9bdb-b9ef7d115924">
      <Terms xmlns="http://schemas.microsoft.com/office/infopath/2007/PartnerControls">
        <TermInfo xmlns="http://schemas.microsoft.com/office/infopath/2007/PartnerControls">
          <TermName xmlns="http://schemas.microsoft.com/office/infopath/2007/PartnerControls">RLAM IC BSS Development SP</TermName>
          <TermId xmlns="http://schemas.microsoft.com/office/infopath/2007/PartnerControls">1cf044e1-854d-4781-9886-7bdc448c23d7</TermId>
        </TermInfo>
      </Terms>
    </EriCOLLOrganizationUnitTaxHTField0>
    <AbstractOrSummary. xmlns="3f7ba4b2-8e6d-40ca-9bdb-b9ef7d115924">BSCS Team 4 - Projects Management spread sheet
Contains all information regarding projects, user stories, tasks, points, burndown chart and delivery dates.</AbstractOrSummary.>
    <EriCOLLCountryTaxHTField0 xmlns="3f7ba4b2-8e6d-40ca-9bdb-b9ef7d115924">
      <Terms xmlns="http://schemas.microsoft.com/office/infopath/2007/PartnerControls">
        <TermInfo xmlns="http://schemas.microsoft.com/office/infopath/2007/PartnerControls">
          <TermName xmlns="http://schemas.microsoft.com/office/infopath/2007/PartnerControls">Brazil</TermName>
          <TermId xmlns="http://schemas.microsoft.com/office/infopath/2007/PartnerControls">9242ffd7-e355-42a3-a803-b7b4da26c871</TermId>
        </TermInfo>
      </Terms>
    </EriCOLLCountryTaxHTField0>
    <TaxCatchAll xmlns="08b2df90-05d3-4030-90d4-c9feeb4a1cd9">
      <Value>67</Value>
      <Value>66</Value>
      <Value>62</Value>
      <Value>15</Value>
      <Value>59</Value>
      <Value>58</Value>
      <Value>57</Value>
      <Value>10</Value>
      <Value>31</Value>
    </TaxCatchAll>
    <EriCOLLDate. xmlns="3f7ba4b2-8e6d-40ca-9bdb-b9ef7d115924">27/03/2014</EriCOLLDate.>
    <EriCOLLProductsTaxHTField0 xmlns="3f7ba4b2-8e6d-40ca-9bdb-b9ef7d115924">
      <Terms xmlns="http://schemas.microsoft.com/office/infopath/2007/PartnerControls">
        <TermInfo xmlns="http://schemas.microsoft.com/office/infopath/2007/PartnerControls">
          <TermName xmlns="http://schemas.microsoft.com/office/infopath/2007/PartnerControls">BSCS</TermName>
          <TermId xmlns="http://schemas.microsoft.com/office/infopath/2007/PartnerControls">a57028e0-3b7f-4e5e-8759-aa303abc6821</TermId>
        </TermInfo>
      </Terms>
    </EriCOLLProductsTaxHTField0>
    <TaxKeywordTaxHTField xmlns="08b2df90-05d3-4030-90d4-c9feeb4a1cd9">
      <Terms xmlns="http://schemas.microsoft.com/office/infopath/2007/PartnerControls">
        <TermInfo xmlns="http://schemas.microsoft.com/office/infopath/2007/PartnerControls">
          <TermName xmlns="http://schemas.microsoft.com/office/infopath/2007/PartnerControls">BSCS</TermName>
          <TermId xmlns="http://schemas.microsoft.com/office/infopath/2007/PartnerControls">4343ed08-1d04-4454-a308-13530ed62a68</TermId>
        </TermInfo>
        <TermInfo xmlns="http://schemas.microsoft.com/office/infopath/2007/PartnerControls">
          <TermName xmlns="http://schemas.microsoft.com/office/infopath/2007/PartnerControls">project activities</TermName>
          <TermId xmlns="http://schemas.microsoft.com/office/infopath/2007/PartnerControls">22dfa2ae-fd57-48e1-ab97-3731bc7dbc87</TermId>
        </TermInfo>
        <TermInfo xmlns="http://schemas.microsoft.com/office/infopath/2007/PartnerControls">
          <TermName xmlns="http://schemas.microsoft.com/office/infopath/2007/PartnerControls">VODAFONE</TermName>
          <TermId xmlns="http://schemas.microsoft.com/office/infopath/2007/PartnerControls">70b46164-b97c-4123-8936-696e8a81f878</TermId>
        </TermInfo>
      </Terms>
    </TaxKeywordTaxHTField>
    <EriCOLLCompetenceTaxHTField0 xmlns="3f7ba4b2-8e6d-40ca-9bdb-b9ef7d115924">
      <Terms xmlns="http://schemas.microsoft.com/office/infopath/2007/PartnerControls"/>
    </EriCOLLCompetenceTaxHTField0>
    <EriCOLLCategoryTaxHTField0 xmlns="3f7ba4b2-8e6d-40ca-9bdb-b9ef7d115924">
      <Terms xmlns="http://schemas.microsoft.com/office/infopath/2007/PartnerControls">
        <TermInfo xmlns="http://schemas.microsoft.com/office/infopath/2007/PartnerControls">
          <TermName xmlns="http://schemas.microsoft.com/office/infopath/2007/PartnerControls">Development</TermName>
          <TermId xmlns="http://schemas.microsoft.com/office/infopath/2007/PartnerControls">053fcc88-ab49-4f69-87df-fc64cb0bf305</TermId>
        </TermInfo>
        <TermInfo xmlns="http://schemas.microsoft.com/office/infopath/2007/PartnerControls">
          <TermName xmlns="http://schemas.microsoft.com/office/infopath/2007/PartnerControls">Process</TermName>
          <TermId xmlns="http://schemas.microsoft.com/office/infopath/2007/PartnerControls">75bb6e9a-d7e2-4301-822a-29269eb39e65</TermId>
        </TermInfo>
        <TermInfo xmlns="http://schemas.microsoft.com/office/infopath/2007/PartnerControls">
          <TermName xmlns="http://schemas.microsoft.com/office/infopath/2007/PartnerControls">Project</TermName>
          <TermId xmlns="http://schemas.microsoft.com/office/infopath/2007/PartnerControls">5fd1cb76-0b0e-4149-8caf-738ae6fe14fe</TermId>
        </TermInfo>
      </Terms>
    </EriCOLLCategoryTaxHTField0>
    <EriCOLLProjectsTaxHTField0 xmlns="3f7ba4b2-8e6d-40ca-9bdb-b9ef7d115924">
      <Terms xmlns="http://schemas.microsoft.com/office/infopath/2007/PartnerControls"/>
    </EriCOLLProjectsTaxHTField0>
    <EriCOLLProcessTaxHTField0 xmlns="3f7ba4b2-8e6d-40ca-9bdb-b9ef7d115924">
      <Terms xmlns="http://schemas.microsoft.com/office/infopath/2007/PartnerControls"/>
    </EriCOLLProcessTaxHTField0>
  </documentManagement>
</p:properties>
</file>

<file path=customXml/itemProps1.xml><?xml version="1.0" encoding="utf-8"?>
<ds:datastoreItem xmlns:ds="http://schemas.openxmlformats.org/officeDocument/2006/customXml" ds:itemID="{48FEA737-24D4-4687-BBAD-5D20C05C129F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3f7ba4b2-8e6d-40ca-9bdb-b9ef7d115924"/>
    <ds:schemaRef ds:uri="08b2df90-05d3-4030-90d4-c9feeb4a1cd9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5338FE4F-FCC2-4B20-8871-9A00F2A4E371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22F8848C-9670-41A3-8006-33987629801E}">
  <ds:schemaRefs>
    <ds:schemaRef ds:uri="Microsoft.SharePoint.Taxonomy.ContentTypeSync"/>
  </ds:schemaRefs>
</ds:datastoreItem>
</file>

<file path=customXml/itemProps4.xml><?xml version="1.0" encoding="utf-8"?>
<ds:datastoreItem xmlns:ds="http://schemas.openxmlformats.org/officeDocument/2006/customXml" ds:itemID="{51FD6AFC-2409-4DD9-BC92-40A2F25CDCAE}">
  <ds:schemaRefs>
    <ds:schemaRef ds:uri="http://schemas.microsoft.com/office/2006/metadata/longProperties"/>
    <ds:schemaRef ds:uri=""/>
  </ds:schemaRefs>
</ds:datastoreItem>
</file>

<file path=customXml/itemProps5.xml><?xml version="1.0" encoding="utf-8"?>
<ds:datastoreItem xmlns:ds="http://schemas.openxmlformats.org/officeDocument/2006/customXml" ds:itemID="{650BF2BE-F626-476B-84E4-F99473699264}">
  <ds:schemaRefs>
    <ds:schemaRef ds:uri="http://purl.org/dc/elements/1.1/"/>
    <ds:schemaRef ds:uri="http://www.w3.org/XML/1998/namespace"/>
    <ds:schemaRef ds:uri="http://purl.org/dc/terms/"/>
    <ds:schemaRef ds:uri="3f7ba4b2-8e6d-40ca-9bdb-b9ef7d115924"/>
    <ds:schemaRef ds:uri="http://schemas.microsoft.com/office/2006/documentManagement/types"/>
    <ds:schemaRef ds:uri="http://schemas.microsoft.com/office/infopath/2007/PartnerControls"/>
    <ds:schemaRef ds:uri="http://schemas.microsoft.com/office/2006/metadata/properties"/>
    <ds:schemaRef ds:uri="http://schemas.openxmlformats.org/package/2006/metadata/core-properties"/>
    <ds:schemaRef ds:uri="08b2df90-05d3-4030-90d4-c9feeb4a1cd9"/>
    <ds:schemaRef ds:uri="http://purl.org/dc/dcmitype/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22</vt:i4>
      </vt:variant>
    </vt:vector>
  </HeadingPairs>
  <TitlesOfParts>
    <vt:vector size="23" baseType="lpstr">
      <vt:lpstr>New Project</vt:lpstr>
      <vt:lpstr>'New Project'!BPtsUS01</vt:lpstr>
      <vt:lpstr>'New Project'!BPtsUS02</vt:lpstr>
      <vt:lpstr>'New Project'!BPtsUS03</vt:lpstr>
      <vt:lpstr>'New Project'!BPtsUS04</vt:lpstr>
      <vt:lpstr>'New Project'!BPtsUS05</vt:lpstr>
      <vt:lpstr>BPtsUS06</vt:lpstr>
      <vt:lpstr>BPtsUS07</vt:lpstr>
      <vt:lpstr>BPtsUS08</vt:lpstr>
      <vt:lpstr>'New Project'!Date</vt:lpstr>
      <vt:lpstr>'New Project'!DateUS01</vt:lpstr>
      <vt:lpstr>'New Project'!DateUS02</vt:lpstr>
      <vt:lpstr>'New Project'!DateUS03</vt:lpstr>
      <vt:lpstr>'New Project'!DateUS04</vt:lpstr>
      <vt:lpstr>'New Project'!DateUS05</vt:lpstr>
      <vt:lpstr>DateUS06</vt:lpstr>
      <vt:lpstr>DateUS08</vt:lpstr>
      <vt:lpstr>'New Project'!Day</vt:lpstr>
      <vt:lpstr>'New Project'!Ideal</vt:lpstr>
      <vt:lpstr>'New Project'!RemainingPoints</vt:lpstr>
      <vt:lpstr>'New Project'!ReviewDate</vt:lpstr>
      <vt:lpstr>'New Project'!StartDate</vt:lpstr>
      <vt:lpstr>'New Project'!TotalPts</vt:lpstr>
    </vt:vector>
  </TitlesOfParts>
  <Company>Ericsson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Team 4 - Vodafone Management</dc:title>
  <dc:creator>ETATROC</dc:creator>
  <cp:keywords>project activities; BSCS; VODAFONE</cp:keywords>
  <cp:lastModifiedBy>Nicholas Fanelli Hugueney</cp:lastModifiedBy>
  <dcterms:created xsi:type="dcterms:W3CDTF">2013-12-06T16:37:09Z</dcterms:created>
  <dcterms:modified xsi:type="dcterms:W3CDTF">2014-04-23T01:17:12Z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TaxKeyword">
    <vt:lpwstr>31;#BSCS|4343ed08-1d04-4454-a308-13530ed62a68;#62;#project activities|22dfa2ae-fd57-48e1-ab97-3731bc7dbc87;#66;#VODAFONE|70b46164-b97c-4123-8936-696e8a81f878</vt:lpwstr>
  </property>
  <property fmtid="{D5CDD505-2E9C-101B-9397-08002B2CF9AE}" pid="3" name="EriCOLLCategory">
    <vt:lpwstr>10;#Development|053fcc88-ab49-4f69-87df-fc64cb0bf305;#57;#Process|75bb6e9a-d7e2-4301-822a-29269eb39e65;#15;#Project|5fd1cb76-0b0e-4149-8caf-738ae6fe14fe</vt:lpwstr>
  </property>
  <property fmtid="{D5CDD505-2E9C-101B-9397-08002B2CF9AE}" pid="4" name="EriCOLLOrganizationUnit">
    <vt:lpwstr>59;#RLAM IC BSS Development SP|1cf044e1-854d-4781-9886-7bdc448c23d7</vt:lpwstr>
  </property>
  <property fmtid="{D5CDD505-2E9C-101B-9397-08002B2CF9AE}" pid="5" name="EriCOLLProjects">
    <vt:lpwstr/>
  </property>
  <property fmtid="{D5CDD505-2E9C-101B-9397-08002B2CF9AE}" pid="6" name="EriCOLLProcess">
    <vt:lpwstr/>
  </property>
  <property fmtid="{D5CDD505-2E9C-101B-9397-08002B2CF9AE}" pid="7" name="EriCOLLProducts">
    <vt:lpwstr>67;#BSCS|a57028e0-3b7f-4e5e-8759-aa303abc6821</vt:lpwstr>
  </property>
  <property fmtid="{D5CDD505-2E9C-101B-9397-08002B2CF9AE}" pid="8" name="EriCOLLCountry">
    <vt:lpwstr>58;#Brazil|9242ffd7-e355-42a3-a803-b7b4da26c871</vt:lpwstr>
  </property>
  <property fmtid="{D5CDD505-2E9C-101B-9397-08002B2CF9AE}" pid="9" name="EriCOLLCompetence">
    <vt:lpwstr/>
  </property>
  <property fmtid="{D5CDD505-2E9C-101B-9397-08002B2CF9AE}" pid="10" name="ContentTypeId">
    <vt:lpwstr>0x010100BB337192E63E44A7A744CE7393F41F4E0062CE9D1D96936544B1F3B7CB378262DB</vt:lpwstr>
  </property>
  <property fmtid="{D5CDD505-2E9C-101B-9397-08002B2CF9AE}" pid="11" name="ContentType">
    <vt:lpwstr>EriCOLL Docs</vt:lpwstr>
  </property>
</Properties>
</file>